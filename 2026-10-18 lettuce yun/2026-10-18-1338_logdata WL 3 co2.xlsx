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Remarks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V28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</row>
    <row r="3">
      <c r="B3" t="inlineStr">
        <is>
          <t>4</t>
        </is>
      </c>
      <c r="C3" t="n">
        <v>21</v>
      </c>
    </row>
    <row r="4">
      <c r="A4" t="inlineStr">
        <is>
          <t>ChambConst</t>
        </is>
      </c>
      <c r="B4" t="inlineStr">
        <is>
          <t>Chamber</t>
        </is>
      </c>
      <c r="C4" t="inlineStr">
        <is>
          <t>Aperture</t>
        </is>
      </c>
      <c r="D4" t="inlineStr">
        <is>
          <t>blc_a</t>
        </is>
      </c>
      <c r="E4" t="inlineStr">
        <is>
          <t>blc_b</t>
        </is>
      </c>
      <c r="F4" t="inlineStr">
        <is>
          <t>blc_c</t>
        </is>
      </c>
      <c r="G4" t="inlineStr">
        <is>
          <t>blc_d</t>
        </is>
      </c>
      <c r="H4" t="inlineStr">
        <is>
          <t>blc_e</t>
        </is>
      </c>
      <c r="I4" t="inlineStr">
        <is>
          <t>blc_minS</t>
        </is>
      </c>
      <c r="J4" t="inlineStr">
        <is>
          <t>blc_maxS</t>
        </is>
      </c>
      <c r="K4" t="inlineStr">
        <is>
          <t>blc_Po</t>
        </is>
      </c>
    </row>
    <row r="5">
      <c r="B5" t="inlineStr">
        <is>
          <t>6800-01A</t>
        </is>
      </c>
      <c r="C5" t="inlineStr">
        <is>
          <t>2 cm²</t>
        </is>
      </c>
      <c r="D5" t="n">
        <v>0.572</v>
      </c>
      <c r="E5" t="n">
        <v>0.3872742</v>
      </c>
      <c r="F5" t="n">
        <v>-0.01870584</v>
      </c>
      <c r="G5" t="n">
        <v>0</v>
      </c>
      <c r="H5" t="n">
        <v>-0.00737389</v>
      </c>
      <c r="I5" t="n">
        <v>1</v>
      </c>
      <c r="J5" t="n">
        <v>2</v>
      </c>
      <c r="K5" t="n">
        <v>96.90000000000001</v>
      </c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</row>
    <row r="7">
      <c r="B7" t="n">
        <v>0</v>
      </c>
      <c r="C7" t="n">
        <v>1</v>
      </c>
      <c r="D7" t="n">
        <v>0</v>
      </c>
      <c r="E7" t="n">
        <v>0</v>
      </c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</row>
    <row r="9">
      <c r="B9" t="inlineStr">
        <is>
          <t>standard</t>
        </is>
      </c>
      <c r="C9" t="inlineStr">
        <is>
          <t>Sun+Sky</t>
        </is>
      </c>
      <c r="D9" t="n">
        <v>0.8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0.1911</v>
      </c>
      <c r="L9" t="n">
        <v>0.1512</v>
      </c>
      <c r="M9" t="n">
        <v>0.161</v>
      </c>
      <c r="N9" t="n">
        <v>0.2262</v>
      </c>
      <c r="O9" t="n">
        <v>0.1575</v>
      </c>
      <c r="P9" t="n">
        <v>0.1596</v>
      </c>
      <c r="Q9" t="n">
        <v>0.2175</v>
      </c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</row>
    <row r="11">
      <c r="B11" t="n">
        <v>0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</row>
    <row r="13"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3.82642 210.635 344.448 576.537 864.353 1069.63 1239.45 1353.65</t>
        </is>
      </c>
      <c r="G13" t="inlineStr">
        <is>
          <t>0.0458087 241.35 374.672 579.544 813.883 1001.14 1204.16 1400.88</t>
        </is>
      </c>
      <c r="H13" t="n">
        <v>0</v>
      </c>
    </row>
    <row r="14">
      <c r="A14" t="inlineStr">
        <is>
          <t>SysObs</t>
        </is>
      </c>
      <c r="B14" t="inlineStr">
        <is>
          <t>SysObs</t>
        </is>
      </c>
      <c r="C14" t="inlineStr">
        <is>
          <t>SysObs</t>
        </is>
      </c>
      <c r="D14" t="inlineStr">
        <is>
          <t>SysObs</t>
        </is>
      </c>
      <c r="E14" t="inlineStr">
        <is>
          <t>SysObs</t>
        </is>
      </c>
      <c r="F14" t="inlineStr">
        <is>
          <t>SysObs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Leak</t>
        </is>
      </c>
      <c r="AF14" t="inlineStr">
        <is>
          <t>Leak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FLR</t>
        </is>
      </c>
      <c r="AK14" t="inlineStr">
        <is>
          <t>FLR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FLR</t>
        </is>
      </c>
      <c r="BK14" t="inlineStr">
        <is>
          <t>FLR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MPF</t>
        </is>
      </c>
      <c r="BS14" t="inlineStr">
        <is>
          <t>MPF</t>
        </is>
      </c>
      <c r="BT14" t="inlineStr">
        <is>
          <t>MPF</t>
        </is>
      </c>
      <c r="BU14" t="inlineStr">
        <is>
          <t>MPF</t>
        </is>
      </c>
      <c r="BV14" t="inlineStr">
        <is>
          <t>MPF</t>
        </is>
      </c>
      <c r="BW14" t="inlineStr">
        <is>
          <t>MPF</t>
        </is>
      </c>
      <c r="BX14" t="inlineStr">
        <is>
          <t>MPF</t>
        </is>
      </c>
      <c r="BY14" t="inlineStr">
        <is>
          <t>MPF</t>
        </is>
      </c>
      <c r="BZ14" t="inlineStr">
        <is>
          <t>MPF</t>
        </is>
      </c>
      <c r="CA14" t="inlineStr">
        <is>
          <t>MPF</t>
        </is>
      </c>
      <c r="CB14" t="inlineStr">
        <is>
          <t>MPF</t>
        </is>
      </c>
      <c r="CC14" t="inlineStr">
        <is>
          <t>MPF</t>
        </is>
      </c>
      <c r="CD14" t="inlineStr">
        <is>
          <t>MPF</t>
        </is>
      </c>
      <c r="CE14" t="inlineStr">
        <is>
          <t>MPF</t>
        </is>
      </c>
      <c r="CF14" t="inlineStr">
        <is>
          <t>MPF</t>
        </is>
      </c>
      <c r="CG14" t="inlineStr">
        <is>
          <t>FastKntcs</t>
        </is>
      </c>
      <c r="CH14" t="inlineStr">
        <is>
          <t>FastKntcs</t>
        </is>
      </c>
      <c r="CI14" t="inlineStr">
        <is>
          <t>FastKntcs</t>
        </is>
      </c>
      <c r="CJ14" t="inlineStr">
        <is>
          <t>FastKntcs</t>
        </is>
      </c>
      <c r="CK14" t="inlineStr">
        <is>
          <t>FastKntcs</t>
        </is>
      </c>
      <c r="CL14" t="inlineStr">
        <is>
          <t>FastKntcs</t>
        </is>
      </c>
      <c r="CM14" t="inlineStr">
        <is>
          <t>FastKntcs</t>
        </is>
      </c>
      <c r="CN14" t="inlineStr">
        <is>
          <t>FastKntcs</t>
        </is>
      </c>
      <c r="CO14" t="inlineStr">
        <is>
          <t>FastKntcs</t>
        </is>
      </c>
      <c r="CP14" t="inlineStr">
        <is>
          <t>FastKntcs</t>
        </is>
      </c>
      <c r="CQ14" t="inlineStr">
        <is>
          <t>FastKntcs</t>
        </is>
      </c>
      <c r="CR14" t="inlineStr">
        <is>
          <t>FastKntcs</t>
        </is>
      </c>
      <c r="CS14" t="inlineStr">
        <is>
          <t>FastKntcs</t>
        </is>
      </c>
      <c r="CT14" t="inlineStr">
        <is>
          <t>LeafQ</t>
        </is>
      </c>
      <c r="CU14" t="inlineStr">
        <is>
          <t>LeafQ</t>
        </is>
      </c>
      <c r="CV14" t="inlineStr">
        <is>
          <t>LeafQ</t>
        </is>
      </c>
      <c r="CW14" t="inlineStr">
        <is>
          <t>LeafQ</t>
        </is>
      </c>
      <c r="CX14" t="inlineStr">
        <is>
          <t>Const</t>
        </is>
      </c>
      <c r="CY14" t="inlineStr">
        <is>
          <t>Const</t>
        </is>
      </c>
      <c r="CZ14" t="inlineStr">
        <is>
          <t>Const</t>
        </is>
      </c>
      <c r="DA14" t="inlineStr">
        <is>
          <t>Const</t>
        </is>
      </c>
      <c r="DB14" t="inlineStr">
        <is>
          <t>Meas</t>
        </is>
      </c>
      <c r="DC14" t="inlineStr">
        <is>
          <t>Meas</t>
        </is>
      </c>
      <c r="DD14" t="inlineStr">
        <is>
          <t>Meas</t>
        </is>
      </c>
      <c r="DE14" t="inlineStr">
        <is>
          <t>Meas</t>
        </is>
      </c>
      <c r="DF14" t="inlineStr">
        <is>
          <t>Meas</t>
        </is>
      </c>
      <c r="DG14" t="inlineStr">
        <is>
          <t>Meas</t>
        </is>
      </c>
      <c r="DH14" t="inlineStr">
        <is>
          <t>Meas</t>
        </is>
      </c>
      <c r="DI14" t="inlineStr">
        <is>
          <t>Meas</t>
        </is>
      </c>
      <c r="DJ14" t="inlineStr">
        <is>
          <t>Meas</t>
        </is>
      </c>
      <c r="DK14" t="inlineStr">
        <is>
          <t>Meas</t>
        </is>
      </c>
      <c r="DL14" t="inlineStr">
        <is>
          <t>Meas</t>
        </is>
      </c>
      <c r="DM14" t="inlineStr">
        <is>
          <t>Meas</t>
        </is>
      </c>
      <c r="DN14" t="inlineStr">
        <is>
          <t>Meas</t>
        </is>
      </c>
      <c r="DO14" t="inlineStr">
        <is>
          <t>Meas</t>
        </is>
      </c>
      <c r="DP14" t="inlineStr">
        <is>
          <t>Meas</t>
        </is>
      </c>
      <c r="DQ14" t="inlineStr">
        <is>
          <t>Meas</t>
        </is>
      </c>
      <c r="DR14" t="inlineStr">
        <is>
          <t>Meas</t>
        </is>
      </c>
      <c r="DS14" t="inlineStr">
        <is>
          <t>Meas</t>
        </is>
      </c>
      <c r="DT14" t="inlineStr">
        <is>
          <t>Meas2</t>
        </is>
      </c>
      <c r="DU14" t="inlineStr">
        <is>
          <t>Meas2</t>
        </is>
      </c>
      <c r="DV14" t="inlineStr">
        <is>
          <t>Meas2</t>
        </is>
      </c>
      <c r="DW14" t="inlineStr">
        <is>
          <t>Meas2</t>
        </is>
      </c>
      <c r="DX14" t="inlineStr">
        <is>
          <t>Meas2</t>
        </is>
      </c>
      <c r="DY14" t="inlineStr">
        <is>
          <t>Meas2</t>
        </is>
      </c>
      <c r="DZ14" t="inlineStr">
        <is>
          <t>Meas2</t>
        </is>
      </c>
      <c r="EA14" t="inlineStr">
        <is>
          <t>Meas2</t>
        </is>
      </c>
      <c r="EB14" t="inlineStr">
        <is>
          <t>Meas2</t>
        </is>
      </c>
      <c r="EC14" t="inlineStr">
        <is>
          <t>Meas2</t>
        </is>
      </c>
      <c r="ED14" t="inlineStr">
        <is>
          <t>FlrLS</t>
        </is>
      </c>
      <c r="EE14" t="inlineStr">
        <is>
          <t>FlrLS</t>
        </is>
      </c>
      <c r="EF14" t="inlineStr">
        <is>
          <t>FlrLS</t>
        </is>
      </c>
      <c r="EG14" t="inlineStr">
        <is>
          <t>FlrLS</t>
        </is>
      </c>
      <c r="EH14" t="inlineStr">
        <is>
          <t>FlrLS</t>
        </is>
      </c>
      <c r="EI14" t="inlineStr">
        <is>
          <t>FlrLS</t>
        </is>
      </c>
      <c r="EJ14" t="inlineStr">
        <is>
          <t>FlrLS</t>
        </is>
      </c>
      <c r="EK14" t="inlineStr">
        <is>
          <t>FlrLS</t>
        </is>
      </c>
      <c r="EL14" t="inlineStr">
        <is>
          <t>FlrLS</t>
        </is>
      </c>
      <c r="EM14" t="inlineStr">
        <is>
          <t>FlrLS</t>
        </is>
      </c>
      <c r="EN14" t="inlineStr">
        <is>
          <t>FlrLS</t>
        </is>
      </c>
      <c r="EO14" t="inlineStr">
        <is>
          <t>FlrLS</t>
        </is>
      </c>
      <c r="EP14" t="inlineStr">
        <is>
          <t>FlrLS</t>
        </is>
      </c>
      <c r="EQ14" t="inlineStr">
        <is>
          <t>FlrLS</t>
        </is>
      </c>
      <c r="ER14" t="inlineStr">
        <is>
          <t>FlrLS</t>
        </is>
      </c>
      <c r="ES14" t="inlineStr">
        <is>
          <t>FlrLS</t>
        </is>
      </c>
      <c r="ET14" t="inlineStr">
        <is>
          <t>FlrLS</t>
        </is>
      </c>
      <c r="EU14" t="inlineStr">
        <is>
          <t>FlrLS</t>
        </is>
      </c>
      <c r="EV14" t="inlineStr">
        <is>
          <t>FlrStats</t>
        </is>
      </c>
      <c r="EW14" t="inlineStr">
        <is>
          <t>FlrStats</t>
        </is>
      </c>
      <c r="EX14" t="inlineStr">
        <is>
          <t>FlrStats</t>
        </is>
      </c>
      <c r="EY14" t="inlineStr">
        <is>
          <t>FlrStats</t>
        </is>
      </c>
      <c r="EZ14" t="inlineStr">
        <is>
          <t>FlrStats</t>
        </is>
      </c>
      <c r="FA14" t="inlineStr">
        <is>
          <t>MchEvent</t>
        </is>
      </c>
      <c r="FB14" t="inlineStr">
        <is>
          <t>MchEvent</t>
        </is>
      </c>
      <c r="FC14" t="inlineStr">
        <is>
          <t>MchEvent</t>
        </is>
      </c>
      <c r="FD14" t="inlineStr">
        <is>
          <t>MchEvent</t>
        </is>
      </c>
      <c r="FE14" t="inlineStr">
        <is>
          <t>MchEvent</t>
        </is>
      </c>
      <c r="FF14" t="inlineStr">
        <is>
          <t>MchEvent</t>
        </is>
      </c>
      <c r="FG14" t="inlineStr">
        <is>
          <t>MchEvent</t>
        </is>
      </c>
      <c r="FH14" t="inlineStr">
        <is>
          <t>MchEvent</t>
        </is>
      </c>
      <c r="FI14" t="inlineStr">
        <is>
          <t>MchEvent</t>
        </is>
      </c>
      <c r="FJ14" t="inlineStr">
        <is>
          <t>MchEvent</t>
        </is>
      </c>
      <c r="FK14" t="inlineStr">
        <is>
          <t>MchEvent</t>
        </is>
      </c>
      <c r="FL14" t="inlineStr">
        <is>
          <t>MchEvent</t>
        </is>
      </c>
      <c r="FM14" t="inlineStr">
        <is>
          <t>MchEvent</t>
        </is>
      </c>
      <c r="FN14" t="inlineStr">
        <is>
          <t>Stability</t>
        </is>
      </c>
      <c r="FO14" t="inlineStr">
        <is>
          <t>Stability</t>
        </is>
      </c>
      <c r="FP14" t="inlineStr">
        <is>
          <t>Stability</t>
        </is>
      </c>
      <c r="FQ14" t="inlineStr">
        <is>
          <t>Stability</t>
        </is>
      </c>
      <c r="FR14" t="inlineStr">
        <is>
          <t>Stability</t>
        </is>
      </c>
      <c r="FS14" t="inlineStr">
        <is>
          <t>Stability</t>
        </is>
      </c>
      <c r="FT14" t="inlineStr">
        <is>
          <t>Stability</t>
        </is>
      </c>
      <c r="FU14" t="inlineStr">
        <is>
          <t>Stability</t>
        </is>
      </c>
      <c r="FV14" t="inlineStr">
        <is>
          <t>Stability</t>
        </is>
      </c>
      <c r="FW14" t="inlineStr">
        <is>
          <t>Stability</t>
        </is>
      </c>
      <c r="FX14" t="inlineStr">
        <is>
          <t>Stability</t>
        </is>
      </c>
      <c r="FY14" t="inlineStr">
        <is>
          <t>Stability</t>
        </is>
      </c>
      <c r="FZ14" t="inlineStr">
        <is>
          <t>Stability</t>
        </is>
      </c>
      <c r="GA14" t="inlineStr">
        <is>
          <t>Stability</t>
        </is>
      </c>
      <c r="GB14" t="inlineStr">
        <is>
          <t>Stability</t>
        </is>
      </c>
      <c r="GC14" t="inlineStr">
        <is>
          <t>Raw</t>
        </is>
      </c>
      <c r="GD14" t="inlineStr">
        <is>
          <t>Raw</t>
        </is>
      </c>
      <c r="GE14" t="inlineStr">
        <is>
          <t>Raw</t>
        </is>
      </c>
      <c r="GF14" t="inlineStr">
        <is>
          <t>Raw</t>
        </is>
      </c>
      <c r="GG14" t="inlineStr">
        <is>
          <t>Raw</t>
        </is>
      </c>
      <c r="GH14" t="inlineStr">
        <is>
          <t>Raw</t>
        </is>
      </c>
      <c r="GI14" t="inlineStr">
        <is>
          <t>Raw</t>
        </is>
      </c>
      <c r="GJ14" t="inlineStr">
        <is>
          <t>Raw</t>
        </is>
      </c>
      <c r="GK14" t="inlineStr">
        <is>
          <t>Raw</t>
        </is>
      </c>
      <c r="GL14" t="inlineStr">
        <is>
          <t>Raw</t>
        </is>
      </c>
      <c r="GM14" t="inlineStr">
        <is>
          <t>Raw</t>
        </is>
      </c>
      <c r="GN14" t="inlineStr">
        <is>
          <t>Raw</t>
        </is>
      </c>
      <c r="GO14" t="inlineStr">
        <is>
          <t>Raw</t>
        </is>
      </c>
      <c r="GP14" t="inlineStr">
        <is>
          <t>Raw</t>
        </is>
      </c>
      <c r="GQ14" t="inlineStr">
        <is>
          <t>Raw</t>
        </is>
      </c>
      <c r="GR14" t="inlineStr">
        <is>
          <t>Raw</t>
        </is>
      </c>
      <c r="GS14" t="inlineStr">
        <is>
          <t>Raw</t>
        </is>
      </c>
      <c r="GT14" t="inlineStr">
        <is>
          <t>Raw</t>
        </is>
      </c>
      <c r="GU14" t="inlineStr">
        <is>
          <t>Status2</t>
        </is>
      </c>
      <c r="GV14" t="inlineStr">
        <is>
          <t>Status2</t>
        </is>
      </c>
      <c r="GW14" t="inlineStr">
        <is>
          <t>Status2</t>
        </is>
      </c>
      <c r="GX14" t="inlineStr">
        <is>
          <t>Status2</t>
        </is>
      </c>
      <c r="GY14" t="inlineStr">
        <is>
          <t>Status2</t>
        </is>
      </c>
      <c r="GZ14" t="inlineStr">
        <is>
          <t>Status2</t>
        </is>
      </c>
      <c r="HA14" t="inlineStr">
        <is>
          <t>Status2</t>
        </is>
      </c>
      <c r="HB14" t="inlineStr">
        <is>
          <t>Status2</t>
        </is>
      </c>
      <c r="HC14" t="inlineStr">
        <is>
          <t>Status2</t>
        </is>
      </c>
      <c r="HD14" t="inlineStr">
        <is>
          <t>Status2</t>
        </is>
      </c>
      <c r="HE14" t="inlineStr">
        <is>
          <t>Status2</t>
        </is>
      </c>
      <c r="HF14" t="inlineStr">
        <is>
          <t>Status2</t>
        </is>
      </c>
      <c r="HG14" t="inlineStr">
        <is>
          <t>Status2</t>
        </is>
      </c>
      <c r="HH14" t="inlineStr">
        <is>
          <t>Status2</t>
        </is>
      </c>
      <c r="HI14" t="inlineStr">
        <is>
          <t>Status2</t>
        </is>
      </c>
      <c r="HJ14" t="inlineStr">
        <is>
          <t>Status2</t>
        </is>
      </c>
      <c r="HK14" t="inlineStr">
        <is>
          <t>Status2</t>
        </is>
      </c>
      <c r="HL14" t="inlineStr">
        <is>
          <t>Status2</t>
        </is>
      </c>
      <c r="HM14" t="inlineStr">
        <is>
          <t>Status2</t>
        </is>
      </c>
      <c r="HN14" t="inlineStr">
        <is>
          <t>Auxiliary</t>
        </is>
      </c>
      <c r="HO14" t="inlineStr">
        <is>
          <t>Auxiliary</t>
        </is>
      </c>
      <c r="HP14" t="inlineStr">
        <is>
          <t>Auxiliary</t>
        </is>
      </c>
      <c r="HQ14" t="inlineStr">
        <is>
          <t>Auxiliary</t>
        </is>
      </c>
      <c r="HR14" t="inlineStr">
        <is>
          <t>Auxiliary</t>
        </is>
      </c>
      <c r="HS14" t="inlineStr">
        <is>
          <t>Auxiliary</t>
        </is>
      </c>
      <c r="HT14" t="inlineStr">
        <is>
          <t>Auxiliary</t>
        </is>
      </c>
      <c r="HU14" t="inlineStr">
        <is>
          <t>Auxiliary</t>
        </is>
      </c>
      <c r="HV14" t="inlineStr">
        <is>
          <t>Auxiliary</t>
        </is>
      </c>
      <c r="HW14" t="inlineStr">
        <is>
          <t>Auxiliary</t>
        </is>
      </c>
      <c r="HX14" t="inlineStr">
        <is>
          <t>Auxiliary</t>
        </is>
      </c>
      <c r="HY14" t="inlineStr">
        <is>
          <t>Auxiliary</t>
        </is>
      </c>
      <c r="HZ14" t="inlineStr">
        <is>
          <t>Auxiliary</t>
        </is>
      </c>
      <c r="IA14" t="inlineStr">
        <is>
          <t>Auxiliary</t>
        </is>
      </c>
      <c r="IB14" t="inlineStr">
        <is>
          <t>Auxiliary</t>
        </is>
      </c>
      <c r="IC14" t="inlineStr">
        <is>
          <t>Auxiliary</t>
        </is>
      </c>
      <c r="ID14" t="inlineStr">
        <is>
          <t>Auxiliary</t>
        </is>
      </c>
      <c r="IE14" t="inlineStr">
        <is>
          <t>Auxiliary</t>
        </is>
      </c>
      <c r="IF14" t="inlineStr">
        <is>
          <t>Auxiliary</t>
        </is>
      </c>
      <c r="IG14" t="inlineStr">
        <is>
          <t>MchStatus</t>
        </is>
      </c>
      <c r="IH14" t="inlineStr">
        <is>
          <t>MchStatus</t>
        </is>
      </c>
      <c r="II14" t="inlineStr">
        <is>
          <t>MchStatus</t>
        </is>
      </c>
      <c r="IJ14" t="inlineStr">
        <is>
          <t>MchStatus</t>
        </is>
      </c>
      <c r="IK14" t="inlineStr">
        <is>
          <t>MchStatus</t>
        </is>
      </c>
      <c r="IL14" t="inlineStr">
        <is>
          <t>MchStatus</t>
        </is>
      </c>
      <c r="IM14" t="inlineStr">
        <is>
          <t>MchStatus</t>
        </is>
      </c>
      <c r="IN14" t="inlineStr">
        <is>
          <t>MchStatus</t>
        </is>
      </c>
      <c r="IO14" t="inlineStr">
        <is>
          <t>MchStatus</t>
        </is>
      </c>
      <c r="IP14" t="inlineStr">
        <is>
          <t>MchStatus</t>
        </is>
      </c>
      <c r="IQ14" t="inlineStr">
        <is>
          <t>MchStatus</t>
        </is>
      </c>
      <c r="IR14" t="inlineStr">
        <is>
          <t>MchStatus</t>
        </is>
      </c>
      <c r="IS14" t="inlineStr">
        <is>
          <t>MchStatus</t>
        </is>
      </c>
      <c r="IT14" t="inlineStr">
        <is>
          <t>MchStatus</t>
        </is>
      </c>
      <c r="IU14" t="inlineStr">
        <is>
          <t>MchStatus</t>
        </is>
      </c>
      <c r="IV14" t="inlineStr">
        <is>
          <t>MchStatus</t>
        </is>
      </c>
      <c r="IW14" t="inlineStr">
        <is>
          <t>MchStatus</t>
        </is>
      </c>
      <c r="IX14" t="inlineStr">
        <is>
          <t>MchStatus</t>
        </is>
      </c>
      <c r="IY14" t="inlineStr">
        <is>
          <t>ConStatus</t>
        </is>
      </c>
      <c r="IZ14" t="inlineStr">
        <is>
          <t>ConStatus</t>
        </is>
      </c>
      <c r="JA14" t="inlineStr">
        <is>
          <t>ConStatus</t>
        </is>
      </c>
      <c r="JB14" t="inlineStr">
        <is>
          <t>ConStatus</t>
        </is>
      </c>
      <c r="JC14" t="inlineStr">
        <is>
          <t>ConStatus</t>
        </is>
      </c>
      <c r="JD14" t="inlineStr">
        <is>
          <t>ConStatus</t>
        </is>
      </c>
      <c r="JE14" t="inlineStr">
        <is>
          <t>ConStatus</t>
        </is>
      </c>
      <c r="JF14" t="inlineStr">
        <is>
          <t>ConStatus</t>
        </is>
      </c>
      <c r="JG14" t="inlineStr">
        <is>
          <t>Status</t>
        </is>
      </c>
      <c r="JH14" t="inlineStr">
        <is>
          <t>Status</t>
        </is>
      </c>
      <c r="JI14" t="inlineStr">
        <is>
          <t>Status</t>
        </is>
      </c>
      <c r="JJ14" t="inlineStr">
        <is>
          <t>Status</t>
        </is>
      </c>
      <c r="JK14" t="inlineStr">
        <is>
          <t>Status</t>
        </is>
      </c>
      <c r="JL14" t="inlineStr">
        <is>
          <t>Status</t>
        </is>
      </c>
      <c r="JM14" t="inlineStr">
        <is>
          <t>Status</t>
        </is>
      </c>
      <c r="JN14" t="inlineStr">
        <is>
          <t>Status</t>
        </is>
      </c>
      <c r="JO14" t="inlineStr">
        <is>
          <t>Status</t>
        </is>
      </c>
      <c r="JP14" t="inlineStr">
        <is>
          <t>Status</t>
        </is>
      </c>
      <c r="JQ14" t="inlineStr">
        <is>
          <t>Status</t>
        </is>
      </c>
      <c r="JR14" t="inlineStr">
        <is>
          <t>Status</t>
        </is>
      </c>
      <c r="JS14" t="inlineStr">
        <is>
          <t>Status</t>
        </is>
      </c>
      <c r="JT14" t="inlineStr">
        <is>
          <t>Status</t>
        </is>
      </c>
      <c r="JU14" t="inlineStr">
        <is>
          <t>Status</t>
        </is>
      </c>
      <c r="JV14" t="inlineStr">
        <is>
          <t>Status</t>
        </is>
      </c>
    </row>
    <row r="15">
      <c r="A15" t="inlineStr">
        <is>
          <t>obs</t>
        </is>
      </c>
      <c r="B15" t="inlineStr">
        <is>
          <t>time</t>
        </is>
      </c>
      <c r="C15" t="inlineStr">
        <is>
          <t>elapsed</t>
        </is>
      </c>
      <c r="D15" t="inlineStr">
        <is>
          <t>date</t>
        </is>
      </c>
      <c r="E15" t="inlineStr">
        <is>
          <t>hhmmss</t>
        </is>
      </c>
      <c r="F15" t="inlineStr">
        <is>
          <t>averaging</t>
        </is>
      </c>
      <c r="G15" t="inlineStr">
        <is>
          <t>TIME</t>
        </is>
      </c>
      <c r="H15" t="inlineStr">
        <is>
          <t>E</t>
        </is>
      </c>
      <c r="I15" t="inlineStr">
        <is>
          <t>Emm</t>
        </is>
      </c>
      <c r="J15" t="inlineStr">
        <is>
          <t>A</t>
        </is>
      </c>
      <c r="K15" t="inlineStr">
        <is>
          <t>Ca</t>
        </is>
      </c>
      <c r="L15" t="inlineStr">
        <is>
          <t>Ci</t>
        </is>
      </c>
      <c r="M15" t="inlineStr">
        <is>
          <t>Pci</t>
        </is>
      </c>
      <c r="N15" t="inlineStr">
        <is>
          <t>Pca</t>
        </is>
      </c>
      <c r="O15" t="inlineStr">
        <is>
          <t>gsw</t>
        </is>
      </c>
      <c r="P15" t="inlineStr">
        <is>
          <t>gbw</t>
        </is>
      </c>
      <c r="Q15" t="inlineStr">
        <is>
          <t>gtw</t>
        </is>
      </c>
      <c r="R15" t="inlineStr">
        <is>
          <t>gtc</t>
        </is>
      </c>
      <c r="S15" t="inlineStr">
        <is>
          <t>Rabs</t>
        </is>
      </c>
      <c r="T15" t="inlineStr">
        <is>
          <t>TleafEB</t>
        </is>
      </c>
      <c r="U15" t="inlineStr">
        <is>
          <t>TleafCnd</t>
        </is>
      </c>
      <c r="V15" t="inlineStr">
        <is>
          <t>SVPleaf</t>
        </is>
      </c>
      <c r="W15" t="inlineStr">
        <is>
          <t>RHcham</t>
        </is>
      </c>
      <c r="X15" t="inlineStr">
        <is>
          <t>VPcham</t>
        </is>
      </c>
      <c r="Y15" t="inlineStr">
        <is>
          <t>SVPcham</t>
        </is>
      </c>
      <c r="Z15" t="inlineStr">
        <is>
          <t>VPDleaf</t>
        </is>
      </c>
      <c r="AA15" t="inlineStr">
        <is>
          <t>LatHFlux</t>
        </is>
      </c>
      <c r="AB15" t="inlineStr">
        <is>
          <t>SenHFlux</t>
        </is>
      </c>
      <c r="AC15" t="inlineStr">
        <is>
          <t>NetTherm</t>
        </is>
      </c>
      <c r="AD15" t="inlineStr">
        <is>
          <t>EBSum</t>
        </is>
      </c>
      <c r="AE15" t="inlineStr">
        <is>
          <t>Leak</t>
        </is>
      </c>
      <c r="AF15" t="inlineStr">
        <is>
          <t>LeakPct</t>
        </is>
      </c>
      <c r="AG15" t="inlineStr">
        <is>
          <t>CorrFact</t>
        </is>
      </c>
      <c r="AH15" t="inlineStr">
        <is>
          <t>CorrFactPct</t>
        </is>
      </c>
      <c r="AI15" t="inlineStr">
        <is>
          <t>Fan</t>
        </is>
      </c>
      <c r="AJ15" t="inlineStr">
        <is>
          <t>DarkAdaptedID</t>
        </is>
      </c>
      <c r="AK15" t="inlineStr">
        <is>
          <t>Qmax_d</t>
        </is>
      </c>
      <c r="AL15" t="inlineStr">
        <is>
          <t>Fo</t>
        </is>
      </c>
      <c r="AM15" t="inlineStr">
        <is>
          <t>Fm</t>
        </is>
      </c>
      <c r="AN15" t="inlineStr">
        <is>
          <t>Fv/Fm</t>
        </is>
      </c>
      <c r="AO15" t="inlineStr">
        <is>
          <t>A_dark</t>
        </is>
      </c>
      <c r="AP15" t="inlineStr">
        <is>
          <t>LightAdaptedID</t>
        </is>
      </c>
      <c r="AQ15" t="inlineStr">
        <is>
          <t>Qmax</t>
        </is>
      </c>
      <c r="AR15" t="inlineStr">
        <is>
          <t>Fs</t>
        </is>
      </c>
      <c r="AS15" t="inlineStr">
        <is>
          <t>Fm'</t>
        </is>
      </c>
      <c r="AT15" t="inlineStr">
        <is>
          <t>PhiPS2</t>
        </is>
      </c>
      <c r="AU15" t="inlineStr">
        <is>
          <t>PS2/1</t>
        </is>
      </c>
      <c r="AV15" t="inlineStr">
        <is>
          <t>Qabs_fs</t>
        </is>
      </c>
      <c r="AW15" t="inlineStr">
        <is>
          <t>A_fs</t>
        </is>
      </c>
      <c r="AX15" t="inlineStr">
        <is>
          <t>ETR</t>
        </is>
      </c>
      <c r="AY15" t="inlineStr">
        <is>
          <t>PhiCO2</t>
        </is>
      </c>
      <c r="AZ15" t="inlineStr">
        <is>
          <t>NPQ</t>
        </is>
      </c>
      <c r="BA15" t="inlineStr">
        <is>
          <t>alt._Fo'</t>
        </is>
      </c>
      <c r="BB15" t="inlineStr">
        <is>
          <t>DarkPulseID</t>
        </is>
      </c>
      <c r="BC15" t="inlineStr">
        <is>
          <t>Fmin</t>
        </is>
      </c>
      <c r="BD15" t="inlineStr">
        <is>
          <t>Fo'</t>
        </is>
      </c>
      <c r="BE15" t="inlineStr">
        <is>
          <t>Fv'/Fm'</t>
        </is>
      </c>
      <c r="BF15" t="inlineStr">
        <is>
          <t>qP</t>
        </is>
      </c>
      <c r="BG15" t="inlineStr">
        <is>
          <t>qN</t>
        </is>
      </c>
      <c r="BH15" t="inlineStr">
        <is>
          <t>qP_Fo</t>
        </is>
      </c>
      <c r="BI15" t="inlineStr">
        <is>
          <t>qN_Fo</t>
        </is>
      </c>
      <c r="BJ15" t="inlineStr">
        <is>
          <t>qL</t>
        </is>
      </c>
      <c r="BK15" t="inlineStr">
        <is>
          <t>1-qL</t>
        </is>
      </c>
      <c r="BL15" t="inlineStr">
        <is>
          <t>ID</t>
        </is>
      </c>
      <c r="BM15" t="inlineStr">
        <is>
          <t>P1_dur</t>
        </is>
      </c>
      <c r="BN15" t="inlineStr">
        <is>
          <t>P1_Fmax</t>
        </is>
      </c>
      <c r="BO15" t="inlineStr">
        <is>
          <t>T@P1_Fmax</t>
        </is>
      </c>
      <c r="BP15" t="inlineStr">
        <is>
          <t>Q@P1_Fmax</t>
        </is>
      </c>
      <c r="BQ15" t="inlineStr">
        <is>
          <t>P1_PredF</t>
        </is>
      </c>
      <c r="BR15" t="inlineStr">
        <is>
          <t>P1_ΔF</t>
        </is>
      </c>
      <c r="BS15" t="inlineStr">
        <is>
          <t>P2_dur</t>
        </is>
      </c>
      <c r="BT15" t="inlineStr">
        <is>
          <t>P2_ramp</t>
        </is>
      </c>
      <c r="BU15" t="inlineStr">
        <is>
          <t>P2_int</t>
        </is>
      </c>
      <c r="BV15" t="inlineStr">
        <is>
          <t>P2_int_se</t>
        </is>
      </c>
      <c r="BW15" t="inlineStr">
        <is>
          <t>P2_slp</t>
        </is>
      </c>
      <c r="BX15" t="inlineStr">
        <is>
          <t>P2_slp_se</t>
        </is>
      </c>
      <c r="BY15" t="inlineStr">
        <is>
          <t>P2_R2</t>
        </is>
      </c>
      <c r="BZ15" t="inlineStr">
        <is>
          <t>P2_dQdt</t>
        </is>
      </c>
      <c r="CA15" t="inlineStr">
        <is>
          <t>P3_dur</t>
        </is>
      </c>
      <c r="CB15" t="inlineStr">
        <is>
          <t>P3_Fmax</t>
        </is>
      </c>
      <c r="CC15" t="inlineStr">
        <is>
          <t>T@P3_Fmax</t>
        </is>
      </c>
      <c r="CD15" t="inlineStr">
        <is>
          <t>Q@P3_Fmax</t>
        </is>
      </c>
      <c r="CE15" t="inlineStr">
        <is>
          <t>P3_PredF</t>
        </is>
      </c>
      <c r="CF15" t="inlineStr">
        <is>
          <t>P3_ΔF</t>
        </is>
      </c>
      <c r="CG15" t="inlineStr">
        <is>
          <t>ID</t>
        </is>
      </c>
      <c r="CH15" t="inlineStr">
        <is>
          <t>Dur</t>
        </is>
      </c>
      <c r="CI15" t="inlineStr">
        <is>
          <t>DCo</t>
        </is>
      </c>
      <c r="CJ15" t="inlineStr">
        <is>
          <t>InitSlope</t>
        </is>
      </c>
      <c r="CK15" t="inlineStr">
        <is>
          <t>Fo</t>
        </is>
      </c>
      <c r="CL15" t="inlineStr">
        <is>
          <t>F1</t>
        </is>
      </c>
      <c r="CM15" t="inlineStr">
        <is>
          <t>T@F1</t>
        </is>
      </c>
      <c r="CN15" t="inlineStr">
        <is>
          <t>T@HIR</t>
        </is>
      </c>
      <c r="CO15" t="inlineStr">
        <is>
          <t>F2</t>
        </is>
      </c>
      <c r="CP15" t="inlineStr">
        <is>
          <t>T@F2</t>
        </is>
      </c>
      <c r="CQ15" t="inlineStr">
        <is>
          <t>DCmax</t>
        </is>
      </c>
      <c r="CR15" t="inlineStr">
        <is>
          <t>T@DCmax</t>
        </is>
      </c>
      <c r="CS15" t="inlineStr">
        <is>
          <t>PhiPS2_dc</t>
        </is>
      </c>
      <c r="CT15" t="inlineStr">
        <is>
          <t>Qin</t>
        </is>
      </c>
      <c r="CU15" t="inlineStr">
        <is>
          <t>Qabs</t>
        </is>
      </c>
      <c r="CV15" t="inlineStr">
        <is>
          <t>alpha</t>
        </is>
      </c>
      <c r="CW15" t="inlineStr">
        <is>
          <t>convert</t>
        </is>
      </c>
      <c r="CX15" t="inlineStr">
        <is>
          <t>S</t>
        </is>
      </c>
      <c r="CY15" t="inlineStr">
        <is>
          <t>K</t>
        </is>
      </c>
      <c r="CZ15" t="inlineStr">
        <is>
          <t>Geometry</t>
        </is>
      </c>
      <c r="DA15" t="inlineStr">
        <is>
          <t>Custom</t>
        </is>
      </c>
      <c r="DB15" t="inlineStr">
        <is>
          <t>TIME</t>
        </is>
      </c>
      <c r="DC15" t="inlineStr">
        <is>
          <t>CO2_s</t>
        </is>
      </c>
      <c r="DD15" t="inlineStr">
        <is>
          <t>CO2_r</t>
        </is>
      </c>
      <c r="DE15" t="inlineStr">
        <is>
          <t>H2O_s</t>
        </is>
      </c>
      <c r="DF15" t="inlineStr">
        <is>
          <t>H2O_r</t>
        </is>
      </c>
      <c r="DG15" t="inlineStr">
        <is>
          <t>CO2_a</t>
        </is>
      </c>
      <c r="DH15" t="inlineStr">
        <is>
          <t>H2O_a</t>
        </is>
      </c>
      <c r="DI15" t="inlineStr">
        <is>
          <t>Flow</t>
        </is>
      </c>
      <c r="DJ15" t="inlineStr">
        <is>
          <t>Pa</t>
        </is>
      </c>
      <c r="DK15" t="inlineStr">
        <is>
          <t>ΔPcham</t>
        </is>
      </c>
      <c r="DL15" t="inlineStr">
        <is>
          <t>Tair</t>
        </is>
      </c>
      <c r="DM15" t="inlineStr">
        <is>
          <t>Tleaf</t>
        </is>
      </c>
      <c r="DN15" t="inlineStr">
        <is>
          <t>Tleaf2</t>
        </is>
      </c>
      <c r="DO15" t="inlineStr">
        <is>
          <t>Offset</t>
        </is>
      </c>
      <c r="DP15" t="inlineStr">
        <is>
          <t>Offset2</t>
        </is>
      </c>
      <c r="DQ15" t="inlineStr">
        <is>
          <t>Fan_speed</t>
        </is>
      </c>
      <c r="DR15" t="inlineStr">
        <is>
          <t>Qamb_in</t>
        </is>
      </c>
      <c r="DS15" t="inlineStr">
        <is>
          <t>Qamb_out</t>
        </is>
      </c>
      <c r="DT15" t="inlineStr">
        <is>
          <t>ΔCO2</t>
        </is>
      </c>
      <c r="DU15" t="inlineStr">
        <is>
          <t>CO2_s_d</t>
        </is>
      </c>
      <c r="DV15" t="inlineStr">
        <is>
          <t>CO2_r_d</t>
        </is>
      </c>
      <c r="DW15" t="inlineStr">
        <is>
          <t>ΔH2O</t>
        </is>
      </c>
      <c r="DX15" t="inlineStr">
        <is>
          <t>CO2_b</t>
        </is>
      </c>
      <c r="DY15" t="inlineStr">
        <is>
          <t>H2O_b</t>
        </is>
      </c>
      <c r="DZ15" t="inlineStr">
        <is>
          <t>e_s</t>
        </is>
      </c>
      <c r="EA15" t="inlineStr">
        <is>
          <t>e_r</t>
        </is>
      </c>
      <c r="EB15" t="inlineStr">
        <is>
          <t>Td_s</t>
        </is>
      </c>
      <c r="EC15" t="inlineStr">
        <is>
          <t>Td_r</t>
        </is>
      </c>
      <c r="ED15" t="inlineStr">
        <is>
          <t>Q</t>
        </is>
      </c>
      <c r="EE15" t="inlineStr">
        <is>
          <t>f_red</t>
        </is>
      </c>
      <c r="EF15" t="inlineStr">
        <is>
          <t>f_blue</t>
        </is>
      </c>
      <c r="EG15" t="inlineStr">
        <is>
          <t>f_farred</t>
        </is>
      </c>
      <c r="EH15" t="inlineStr">
        <is>
          <t>F</t>
        </is>
      </c>
      <c r="EI15" t="inlineStr">
        <is>
          <t>Q_modavg</t>
        </is>
      </c>
      <c r="EJ15" t="inlineStr">
        <is>
          <t>F_dc</t>
        </is>
      </c>
      <c r="EK15" t="inlineStr">
        <is>
          <t>Pc</t>
        </is>
      </c>
      <c r="EL15" t="inlineStr">
        <is>
          <t>Tled</t>
        </is>
      </c>
      <c r="EM15" t="inlineStr">
        <is>
          <t>TDigital</t>
        </is>
      </c>
      <c r="EN15" t="inlineStr">
        <is>
          <t>TPreamp</t>
        </is>
      </c>
      <c r="EO15" t="inlineStr">
        <is>
          <t>TPwrSpy</t>
        </is>
      </c>
      <c r="EP15" t="inlineStr">
        <is>
          <t>TDrive</t>
        </is>
      </c>
      <c r="EQ15" t="inlineStr">
        <is>
          <t>Q_red</t>
        </is>
      </c>
      <c r="ER15" t="inlineStr">
        <is>
          <t>Q_blue</t>
        </is>
      </c>
      <c r="ES15" t="inlineStr">
        <is>
          <t>Q_farred</t>
        </is>
      </c>
      <c r="ET15" t="inlineStr">
        <is>
          <t>TSPF</t>
        </is>
      </c>
      <c r="EU15" t="inlineStr">
        <is>
          <t>state</t>
        </is>
      </c>
      <c r="EV15" t="inlineStr">
        <is>
          <t>F_avg</t>
        </is>
      </c>
      <c r="EW15" t="inlineStr">
        <is>
          <t>dF/dt</t>
        </is>
      </c>
      <c r="EX15" t="inlineStr">
        <is>
          <t>dF_dc/dt</t>
        </is>
      </c>
      <c r="EY15" t="inlineStr">
        <is>
          <t>F_dc_avg</t>
        </is>
      </c>
      <c r="EZ15" t="inlineStr">
        <is>
          <t>period</t>
        </is>
      </c>
      <c r="FA15" t="inlineStr">
        <is>
          <t>time</t>
        </is>
      </c>
      <c r="FB15" t="inlineStr">
        <is>
          <t>hhmmss</t>
        </is>
      </c>
      <c r="FC15" t="inlineStr">
        <is>
          <t>co2_t</t>
        </is>
      </c>
      <c r="FD15" t="inlineStr">
        <is>
          <t>h2o_t</t>
        </is>
      </c>
      <c r="FE15" t="inlineStr">
        <is>
          <t>count</t>
        </is>
      </c>
      <c r="FF15" t="inlineStr">
        <is>
          <t>co2_adj</t>
        </is>
      </c>
      <c r="FG15" t="inlineStr">
        <is>
          <t>h2o_adj</t>
        </is>
      </c>
      <c r="FH15" t="inlineStr">
        <is>
          <t>co2_match</t>
        </is>
      </c>
      <c r="FI15" t="inlineStr">
        <is>
          <t>h2o_match</t>
        </is>
      </c>
      <c r="FJ15" t="inlineStr">
        <is>
          <t>co2_at</t>
        </is>
      </c>
      <c r="FK15" t="inlineStr">
        <is>
          <t>h2o_at</t>
        </is>
      </c>
      <c r="FL15" t="inlineStr">
        <is>
          <t>co2_cv</t>
        </is>
      </c>
      <c r="FM15" t="inlineStr">
        <is>
          <t>h2o_cv</t>
        </is>
      </c>
      <c r="FN15" t="inlineStr">
        <is>
          <t>A:MN</t>
        </is>
      </c>
      <c r="FO15" t="inlineStr">
        <is>
          <t>A:SLP</t>
        </is>
      </c>
      <c r="FP15" t="inlineStr">
        <is>
          <t>A:SD</t>
        </is>
      </c>
      <c r="FQ15" t="inlineStr">
        <is>
          <t>A:OK</t>
        </is>
      </c>
      <c r="FR15" t="inlineStr">
        <is>
          <t>ΔCO2:MN</t>
        </is>
      </c>
      <c r="FS15" t="inlineStr">
        <is>
          <t>ΔCO2:SLP</t>
        </is>
      </c>
      <c r="FT15" t="inlineStr">
        <is>
          <t>ΔCO2:SD</t>
        </is>
      </c>
      <c r="FU15" t="inlineStr">
        <is>
          <t>ΔCO2:OK</t>
        </is>
      </c>
      <c r="FV15" t="inlineStr">
        <is>
          <t>F:MN</t>
        </is>
      </c>
      <c r="FW15" t="inlineStr">
        <is>
          <t>F:SLP</t>
        </is>
      </c>
      <c r="FX15" t="inlineStr">
        <is>
          <t>F:SD</t>
        </is>
      </c>
      <c r="FY15" t="inlineStr">
        <is>
          <t>F:OK</t>
        </is>
      </c>
      <c r="FZ15" t="inlineStr">
        <is>
          <t>Stable</t>
        </is>
      </c>
      <c r="GA15" t="inlineStr">
        <is>
          <t>Total</t>
        </is>
      </c>
      <c r="GB15" t="inlineStr">
        <is>
          <t>State</t>
        </is>
      </c>
      <c r="GC15" t="inlineStr">
        <is>
          <t>Vflow</t>
        </is>
      </c>
      <c r="GD15" t="inlineStr">
        <is>
          <t>VPchamber</t>
        </is>
      </c>
      <c r="GE15" t="inlineStr">
        <is>
          <t>abs_c_a</t>
        </is>
      </c>
      <c r="GF15" t="inlineStr">
        <is>
          <t>abs_c_b</t>
        </is>
      </c>
      <c r="GG15" t="inlineStr">
        <is>
          <t>abs_h_a</t>
        </is>
      </c>
      <c r="GH15" t="inlineStr">
        <is>
          <t>abs_h_b</t>
        </is>
      </c>
      <c r="GI15" t="inlineStr">
        <is>
          <t>Wc_s</t>
        </is>
      </c>
      <c r="GJ15" t="inlineStr">
        <is>
          <t>Wc_r</t>
        </is>
      </c>
      <c r="GK15" t="inlineStr">
        <is>
          <t>Wco_s</t>
        </is>
      </c>
      <c r="GL15" t="inlineStr">
        <is>
          <t>Wco_r</t>
        </is>
      </c>
      <c r="GM15" t="inlineStr">
        <is>
          <t>Ww_s</t>
        </is>
      </c>
      <c r="GN15" t="inlineStr">
        <is>
          <t>Ww_r</t>
        </is>
      </c>
      <c r="GO15" t="inlineStr">
        <is>
          <t>Wwo_s</t>
        </is>
      </c>
      <c r="GP15" t="inlineStr">
        <is>
          <t>Wwo_r</t>
        </is>
      </c>
      <c r="GQ15" t="inlineStr">
        <is>
          <t>Flow_s_v</t>
        </is>
      </c>
      <c r="GR15" t="inlineStr">
        <is>
          <t>Flow_r_v</t>
        </is>
      </c>
      <c r="GS15" t="inlineStr">
        <is>
          <t>Tleaf_mv</t>
        </is>
      </c>
      <c r="GT15" t="inlineStr">
        <is>
          <t>Tleaf2_mv</t>
        </is>
      </c>
      <c r="GU15" t="inlineStr">
        <is>
          <t>Tleaf_j</t>
        </is>
      </c>
      <c r="GV15" t="inlineStr">
        <is>
          <t>Tleaf2_j</t>
        </is>
      </c>
      <c r="GW15" t="inlineStr">
        <is>
          <t>Console_RH</t>
        </is>
      </c>
      <c r="GX15" t="inlineStr">
        <is>
          <t>Console_T</t>
        </is>
      </c>
      <c r="GY15" t="inlineStr">
        <is>
          <t>Console_H2O</t>
        </is>
      </c>
      <c r="GZ15" t="inlineStr">
        <is>
          <t>Fan_%</t>
        </is>
      </c>
      <c r="HA15" t="inlineStr">
        <is>
          <t>Flow_%</t>
        </is>
      </c>
      <c r="HB15" t="inlineStr">
        <is>
          <t>Pump</t>
        </is>
      </c>
      <c r="HC15" t="inlineStr">
        <is>
          <t>Tchp_pwm</t>
        </is>
      </c>
      <c r="HD15" t="inlineStr">
        <is>
          <t>Txchg_pwm</t>
        </is>
      </c>
      <c r="HE15" t="inlineStr">
        <is>
          <t>diag_20v</t>
        </is>
      </c>
      <c r="HF15" t="inlineStr">
        <is>
          <t>diag_5_4v</t>
        </is>
      </c>
      <c r="HG15" t="inlineStr">
        <is>
          <t>diag_12v</t>
        </is>
      </c>
      <c r="HH15" t="inlineStr">
        <is>
          <t>diag_5va</t>
        </is>
      </c>
      <c r="HI15" t="inlineStr">
        <is>
          <t>diag_3_3vf</t>
        </is>
      </c>
      <c r="HJ15" t="inlineStr">
        <is>
          <t>AccCO2_soda</t>
        </is>
      </c>
      <c r="HK15" t="inlineStr">
        <is>
          <t>AccH2O_des</t>
        </is>
      </c>
      <c r="HL15" t="inlineStr">
        <is>
          <t>AccH2O_hum</t>
        </is>
      </c>
      <c r="HM15" t="inlineStr">
        <is>
          <t>CO2_hrs</t>
        </is>
      </c>
      <c r="HN15" t="inlineStr">
        <is>
          <t>ADC_CH1</t>
        </is>
      </c>
      <c r="HO15" t="inlineStr">
        <is>
          <t>ADC_CH2</t>
        </is>
      </c>
      <c r="HP15" t="inlineStr">
        <is>
          <t>ADC_CH3</t>
        </is>
      </c>
      <c r="HQ15" t="inlineStr">
        <is>
          <t>ADC_CH4</t>
        </is>
      </c>
      <c r="HR15" t="inlineStr">
        <is>
          <t>ADC_CH5</t>
        </is>
      </c>
      <c r="HS15" t="inlineStr">
        <is>
          <t>ADC_CH6</t>
        </is>
      </c>
      <c r="HT15" t="inlineStr">
        <is>
          <t>ADC_CH7</t>
        </is>
      </c>
      <c r="HU15" t="inlineStr">
        <is>
          <t>ADC_CH8</t>
        </is>
      </c>
      <c r="HV15" t="inlineStr">
        <is>
          <t>DAC_1</t>
        </is>
      </c>
      <c r="HW15" t="inlineStr">
        <is>
          <t>DAC_2</t>
        </is>
      </c>
      <c r="HX15" t="inlineStr">
        <is>
          <t>DAC_3</t>
        </is>
      </c>
      <c r="HY15" t="inlineStr">
        <is>
          <t>DAC_4</t>
        </is>
      </c>
      <c r="HZ15" t="inlineStr">
        <is>
          <t>GPIO</t>
        </is>
      </c>
      <c r="IA15" t="inlineStr">
        <is>
          <t>GPIO_dir</t>
        </is>
      </c>
      <c r="IB15" t="inlineStr">
        <is>
          <t>excit_5v</t>
        </is>
      </c>
      <c r="IC15" t="inlineStr">
        <is>
          <t>power_12v</t>
        </is>
      </c>
      <c r="ID15" t="inlineStr">
        <is>
          <t>power_5v</t>
        </is>
      </c>
      <c r="IE15" t="inlineStr">
        <is>
          <t>ch1_pullup</t>
        </is>
      </c>
      <c r="IF15" t="inlineStr">
        <is>
          <t>AuxPower</t>
        </is>
      </c>
      <c r="IG15" t="inlineStr">
        <is>
          <t>MatchValveR</t>
        </is>
      </c>
      <c r="IH15" t="inlineStr">
        <is>
          <t>MatchValveS</t>
        </is>
      </c>
      <c r="II15" t="inlineStr">
        <is>
          <t>MatchCO2</t>
        </is>
      </c>
      <c r="IJ15" t="inlineStr">
        <is>
          <t>MatchH2O</t>
        </is>
      </c>
      <c r="IK15" t="inlineStr">
        <is>
          <t>cf_co2_a</t>
        </is>
      </c>
      <c r="IL15" t="inlineStr">
        <is>
          <t>cf_co2_b</t>
        </is>
      </c>
      <c r="IM15" t="inlineStr">
        <is>
          <t>cf_co2_c</t>
        </is>
      </c>
      <c r="IN15" t="inlineStr">
        <is>
          <t>cf_co2_d</t>
        </is>
      </c>
      <c r="IO15" t="inlineStr">
        <is>
          <t>cf_h2o_a</t>
        </is>
      </c>
      <c r="IP15" t="inlineStr">
        <is>
          <t>cf_h2o_b</t>
        </is>
      </c>
      <c r="IQ15" t="inlineStr">
        <is>
          <t>cf_h2o_c</t>
        </is>
      </c>
      <c r="IR15" t="inlineStr">
        <is>
          <t>cf_h2o_d</t>
        </is>
      </c>
      <c r="IS15" t="inlineStr">
        <is>
          <t>co2_fit_low</t>
        </is>
      </c>
      <c r="IT15" t="inlineStr">
        <is>
          <t>co2_fit_high</t>
        </is>
      </c>
      <c r="IU15" t="inlineStr">
        <is>
          <t>h2o_fit_low</t>
        </is>
      </c>
      <c r="IV15" t="inlineStr">
        <is>
          <t>h2o_fit_high</t>
        </is>
      </c>
      <c r="IW15" t="inlineStr">
        <is>
          <t>co2_elapsed</t>
        </is>
      </c>
      <c r="IX15" t="inlineStr">
        <is>
          <t>h2o_elapsed</t>
        </is>
      </c>
      <c r="IY15" t="inlineStr">
        <is>
          <t>CO2_f</t>
        </is>
      </c>
      <c r="IZ15" t="inlineStr">
        <is>
          <t>CO2_f_s</t>
        </is>
      </c>
      <c r="JA15" t="inlineStr">
        <is>
          <t>Pump_f</t>
        </is>
      </c>
      <c r="JB15" t="inlineStr">
        <is>
          <t>Pump_f_s</t>
        </is>
      </c>
      <c r="JC15" t="inlineStr">
        <is>
          <t>Pump_p</t>
        </is>
      </c>
      <c r="JD15" t="inlineStr">
        <is>
          <t>Pump_p_s</t>
        </is>
      </c>
      <c r="JE15" t="inlineStr">
        <is>
          <t>Tboard</t>
        </is>
      </c>
      <c r="JF15" t="inlineStr">
        <is>
          <t>V_system</t>
        </is>
      </c>
      <c r="JG15" t="inlineStr">
        <is>
          <t>DIAG</t>
        </is>
      </c>
      <c r="JH15" t="inlineStr">
        <is>
          <t>Flow_s</t>
        </is>
      </c>
      <c r="JI15" t="inlineStr">
        <is>
          <t>Flow_r</t>
        </is>
      </c>
      <c r="JJ15" t="inlineStr">
        <is>
          <t>Txchg</t>
        </is>
      </c>
      <c r="JK15" t="inlineStr">
        <is>
          <t>Tirga</t>
        </is>
      </c>
      <c r="JL15" t="inlineStr">
        <is>
          <t>Tchopper</t>
        </is>
      </c>
      <c r="JM15" t="inlineStr">
        <is>
          <t>Ts</t>
        </is>
      </c>
      <c r="JN15" t="inlineStr">
        <is>
          <t>Tr</t>
        </is>
      </c>
      <c r="JO15" t="inlineStr">
        <is>
          <t>CO2_%</t>
        </is>
      </c>
      <c r="JP15" t="inlineStr">
        <is>
          <t>Desiccant_%</t>
        </is>
      </c>
      <c r="JQ15" t="inlineStr">
        <is>
          <t>Humidifier_%</t>
        </is>
      </c>
      <c r="JR15" t="inlineStr">
        <is>
          <t>Txchg_sp</t>
        </is>
      </c>
      <c r="JS15" t="inlineStr">
        <is>
          <t>CO2_r_sp</t>
        </is>
      </c>
      <c r="JT15" t="inlineStr">
        <is>
          <t>H2O_r_sp</t>
        </is>
      </c>
      <c r="JU15" t="inlineStr">
        <is>
          <t>SS_s</t>
        </is>
      </c>
      <c r="JV15" t="inlineStr">
        <is>
          <t>SS_r</t>
        </is>
      </c>
    </row>
    <row r="16">
      <c r="B16" t="inlineStr">
        <is>
          <t>s</t>
        </is>
      </c>
      <c r="C16" t="inlineStr">
        <is>
          <t>s</t>
        </is>
      </c>
      <c r="F16" t="inlineStr">
        <is>
          <t>s</t>
        </is>
      </c>
      <c r="G16" t="inlineStr">
        <is>
          <t>s</t>
        </is>
      </c>
      <c r="H16" t="inlineStr">
        <is>
          <t>mol m⁻² s⁻¹</t>
        </is>
      </c>
      <c r="I16" t="inlineStr">
        <is>
          <t>mmol m⁻² s⁻¹</t>
        </is>
      </c>
      <c r="J16" t="inlineStr">
        <is>
          <t>µmol m⁻² s⁻¹</t>
        </is>
      </c>
      <c r="K16" t="inlineStr">
        <is>
          <t>µmol mol⁻¹</t>
        </is>
      </c>
      <c r="L16" t="inlineStr">
        <is>
          <t>µmol mol⁻¹</t>
        </is>
      </c>
      <c r="M16" t="inlineStr">
        <is>
          <t>Pa</t>
        </is>
      </c>
      <c r="N16" t="inlineStr">
        <is>
          <t>Pa</t>
        </is>
      </c>
      <c r="O16" t="inlineStr">
        <is>
          <t>mol m⁻² s⁻¹</t>
        </is>
      </c>
      <c r="P16" t="inlineStr">
        <is>
          <t>mol m⁻² s⁻¹</t>
        </is>
      </c>
      <c r="Q16" t="inlineStr">
        <is>
          <t>mol m⁻² s⁻¹</t>
        </is>
      </c>
      <c r="R16" t="inlineStr">
        <is>
          <t>mol m⁻² s⁻¹</t>
        </is>
      </c>
      <c r="S16" t="inlineStr">
        <is>
          <t>W m⁻²</t>
        </is>
      </c>
      <c r="T16" t="inlineStr">
        <is>
          <t>°C</t>
        </is>
      </c>
      <c r="U16" t="inlineStr">
        <is>
          <t>°C</t>
        </is>
      </c>
      <c r="V16" t="inlineStr">
        <is>
          <t>kPa</t>
        </is>
      </c>
      <c r="W16" t="inlineStr">
        <is>
          <t>%</t>
        </is>
      </c>
      <c r="X16" t="inlineStr">
        <is>
          <t>kPa</t>
        </is>
      </c>
      <c r="Y16" t="inlineStr">
        <is>
          <t>kPa</t>
        </is>
      </c>
      <c r="Z16" t="inlineStr">
        <is>
          <t>kPa</t>
        </is>
      </c>
      <c r="AA16" t="inlineStr">
        <is>
          <t>W m⁻²</t>
        </is>
      </c>
      <c r="AB16" t="inlineStr">
        <is>
          <t>W m⁻²</t>
        </is>
      </c>
      <c r="AC16" t="inlineStr">
        <is>
          <t>W m⁻²</t>
        </is>
      </c>
      <c r="AD16" t="inlineStr">
        <is>
          <t>W m⁻²</t>
        </is>
      </c>
      <c r="AE16" t="inlineStr">
        <is>
          <t>µmol s⁻¹</t>
        </is>
      </c>
      <c r="AF16" t="inlineStr">
        <is>
          <t>%</t>
        </is>
      </c>
      <c r="AH16" t="inlineStr">
        <is>
          <t>%</t>
        </is>
      </c>
      <c r="AI16" t="inlineStr">
        <is>
          <t>µmol s⁻¹</t>
        </is>
      </c>
      <c r="AO16" t="inlineStr">
        <is>
          <t>µmol m⁻² s⁻¹</t>
        </is>
      </c>
      <c r="AV16" t="inlineStr">
        <is>
          <t>µmol m⁻² s⁻¹</t>
        </is>
      </c>
      <c r="AW16" t="inlineStr">
        <is>
          <t>µmol m⁻² s⁻¹</t>
        </is>
      </c>
      <c r="AX16" t="inlineStr">
        <is>
          <t>µmol m⁻² s⁻¹</t>
        </is>
      </c>
      <c r="AY16" t="inlineStr">
        <is>
          <t>µmol µmol⁻¹</t>
        </is>
      </c>
      <c r="BM16" t="inlineStr">
        <is>
          <t>ms</t>
        </is>
      </c>
      <c r="BO16" t="inlineStr">
        <is>
          <t>ms</t>
        </is>
      </c>
      <c r="BP16" t="inlineStr">
        <is>
          <t>µmol m⁻² s⁻¹</t>
        </is>
      </c>
      <c r="BS16" t="inlineStr">
        <is>
          <t>ms</t>
        </is>
      </c>
      <c r="BT16" t="inlineStr">
        <is>
          <t>%</t>
        </is>
      </c>
      <c r="BW16" t="inlineStr">
        <is>
          <t>centimol m⁻² s⁻¹</t>
        </is>
      </c>
      <c r="BX16" t="inlineStr">
        <is>
          <t>centimol m⁻² s⁻¹</t>
        </is>
      </c>
      <c r="BZ16" t="inlineStr">
        <is>
          <t>mol m⁻² s⁻²</t>
        </is>
      </c>
      <c r="CA16" t="inlineStr">
        <is>
          <t>ms</t>
        </is>
      </c>
      <c r="CC16" t="inlineStr">
        <is>
          <t>ms</t>
        </is>
      </c>
      <c r="CD16" t="inlineStr">
        <is>
          <t>µmol m⁻² s⁻¹</t>
        </is>
      </c>
      <c r="CH16" t="inlineStr">
        <is>
          <t>ms</t>
        </is>
      </c>
      <c r="CJ16" t="inlineStr">
        <is>
          <t>s⁻¹</t>
        </is>
      </c>
      <c r="CM16" t="inlineStr">
        <is>
          <t>ms</t>
        </is>
      </c>
      <c r="CN16" t="inlineStr">
        <is>
          <t>ms</t>
        </is>
      </c>
      <c r="CP16" t="inlineStr">
        <is>
          <t>ms</t>
        </is>
      </c>
      <c r="CR16" t="inlineStr">
        <is>
          <t>ms</t>
        </is>
      </c>
      <c r="CT16" t="inlineStr">
        <is>
          <t>µmol m⁻² s⁻¹</t>
        </is>
      </c>
      <c r="CU16" t="inlineStr">
        <is>
          <t>µmol m⁻² s⁻¹</t>
        </is>
      </c>
      <c r="CW16" t="inlineStr">
        <is>
          <t>J/µmol</t>
        </is>
      </c>
      <c r="CX16" t="inlineStr">
        <is>
          <t>cm²</t>
        </is>
      </c>
      <c r="DA16" t="inlineStr">
        <is>
          <t>mol m⁻² s⁻¹</t>
        </is>
      </c>
      <c r="DB16" t="inlineStr">
        <is>
          <t>s</t>
        </is>
      </c>
      <c r="DC16" t="inlineStr">
        <is>
          <t>µmol mol⁻¹</t>
        </is>
      </c>
      <c r="DD16" t="inlineStr">
        <is>
          <t>µmol mol⁻¹</t>
        </is>
      </c>
      <c r="DE16" t="inlineStr">
        <is>
          <t>mmol mol⁻¹</t>
        </is>
      </c>
      <c r="DF16" t="inlineStr">
        <is>
          <t>mmol mol⁻¹</t>
        </is>
      </c>
      <c r="DG16" t="inlineStr">
        <is>
          <t>µmol mol⁻¹</t>
        </is>
      </c>
      <c r="DH16" t="inlineStr">
        <is>
          <t>mmol mol⁻¹</t>
        </is>
      </c>
      <c r="DI16" t="inlineStr">
        <is>
          <t>µmol s⁻¹</t>
        </is>
      </c>
      <c r="DJ16" t="inlineStr">
        <is>
          <t>kPa</t>
        </is>
      </c>
      <c r="DK16" t="inlineStr">
        <is>
          <t>kPa</t>
        </is>
      </c>
      <c r="DL16" t="inlineStr">
        <is>
          <t>°C</t>
        </is>
      </c>
      <c r="DM16" t="inlineStr">
        <is>
          <t>°C</t>
        </is>
      </c>
      <c r="DN16" t="inlineStr">
        <is>
          <t>°C</t>
        </is>
      </c>
      <c r="DO16" t="inlineStr">
        <is>
          <t>°C</t>
        </is>
      </c>
      <c r="DP16" t="inlineStr">
        <is>
          <t>°C</t>
        </is>
      </c>
      <c r="DQ16" t="inlineStr">
        <is>
          <t>rpm</t>
        </is>
      </c>
      <c r="DR16" t="inlineStr">
        <is>
          <t>µmol m⁻² s⁻¹</t>
        </is>
      </c>
      <c r="DS16" t="inlineStr">
        <is>
          <t>µmol m⁻² s⁻¹</t>
        </is>
      </c>
      <c r="DT16" t="inlineStr">
        <is>
          <t>µmol mol⁻¹</t>
        </is>
      </c>
      <c r="DU16" t="inlineStr">
        <is>
          <t>µmol mol⁻¹</t>
        </is>
      </c>
      <c r="DV16" t="inlineStr">
        <is>
          <t>µmol mol⁻¹</t>
        </is>
      </c>
      <c r="DW16" t="inlineStr">
        <is>
          <t>mmol mol⁻¹</t>
        </is>
      </c>
      <c r="DX16" t="inlineStr">
        <is>
          <t>µmol mol⁻¹</t>
        </is>
      </c>
      <c r="DY16" t="inlineStr">
        <is>
          <t>mmol mol⁻¹</t>
        </is>
      </c>
      <c r="DZ16" t="inlineStr">
        <is>
          <t>kPa</t>
        </is>
      </c>
      <c r="EA16" t="inlineStr">
        <is>
          <t>kPa</t>
        </is>
      </c>
      <c r="EB16" t="inlineStr">
        <is>
          <t>°C</t>
        </is>
      </c>
      <c r="EC16" t="inlineStr">
        <is>
          <t>°C</t>
        </is>
      </c>
      <c r="ED16" t="inlineStr">
        <is>
          <t>µmol m⁻² s⁻¹</t>
        </is>
      </c>
      <c r="EI16" t="inlineStr">
        <is>
          <t>µmol m⁻² s⁻¹</t>
        </is>
      </c>
      <c r="EL16" t="inlineStr">
        <is>
          <t>°C</t>
        </is>
      </c>
      <c r="EM16" t="inlineStr">
        <is>
          <t>°C</t>
        </is>
      </c>
      <c r="EN16" t="inlineStr">
        <is>
          <t>°C</t>
        </is>
      </c>
      <c r="EO16" t="inlineStr">
        <is>
          <t>°C</t>
        </is>
      </c>
      <c r="EP16" t="inlineStr">
        <is>
          <t>°C</t>
        </is>
      </c>
      <c r="EQ16" t="inlineStr">
        <is>
          <t>µmol m⁻² s⁻¹</t>
        </is>
      </c>
      <c r="ER16" t="inlineStr">
        <is>
          <t>µmol m⁻² s⁻¹</t>
        </is>
      </c>
      <c r="ES16" t="inlineStr">
        <is>
          <t>µmol m⁻² s⁻¹</t>
        </is>
      </c>
      <c r="ET16" t="inlineStr">
        <is>
          <t>s</t>
        </is>
      </c>
      <c r="EW16" t="inlineStr">
        <is>
          <t>min⁻¹</t>
        </is>
      </c>
      <c r="EX16" t="inlineStr">
        <is>
          <t>min⁻¹</t>
        </is>
      </c>
      <c r="EZ16" t="inlineStr">
        <is>
          <t>s</t>
        </is>
      </c>
      <c r="FA16" t="inlineStr">
        <is>
          <t>secs</t>
        </is>
      </c>
      <c r="FC16" t="inlineStr">
        <is>
          <t>s</t>
        </is>
      </c>
      <c r="FD16" t="inlineStr">
        <is>
          <t>s</t>
        </is>
      </c>
      <c r="FF16" t="inlineStr">
        <is>
          <t>µmol/mol</t>
        </is>
      </c>
      <c r="FG16" t="inlineStr">
        <is>
          <t>mmol/mol</t>
        </is>
      </c>
      <c r="FH16" t="inlineStr">
        <is>
          <t>µmol/mol</t>
        </is>
      </c>
      <c r="FI16" t="inlineStr">
        <is>
          <t>mmol/mol</t>
        </is>
      </c>
      <c r="FJ16" t="inlineStr">
        <is>
          <t>µmol/mol</t>
        </is>
      </c>
      <c r="FK16" t="inlineStr">
        <is>
          <t>mmol/mol</t>
        </is>
      </c>
      <c r="FL16" t="inlineStr">
        <is>
          <t>%</t>
        </is>
      </c>
      <c r="FM16" t="inlineStr">
        <is>
          <t>%</t>
        </is>
      </c>
      <c r="FN16" t="inlineStr">
        <is>
          <t>µmol m⁻² s⁻¹</t>
        </is>
      </c>
      <c r="FO16" t="inlineStr">
        <is>
          <t>µmol m⁻² s⁻¹ min⁻¹</t>
        </is>
      </c>
      <c r="FP16" t="inlineStr">
        <is>
          <t>µmol m⁻² s⁻¹</t>
        </is>
      </c>
      <c r="FR16" t="inlineStr">
        <is>
          <t>µmol mol⁻¹</t>
        </is>
      </c>
      <c r="FS16" t="inlineStr">
        <is>
          <t>µmol mol⁻¹ min⁻¹</t>
        </is>
      </c>
      <c r="FT16" t="inlineStr">
        <is>
          <t>µmol mol⁻¹</t>
        </is>
      </c>
      <c r="FW16" t="inlineStr">
        <is>
          <t xml:space="preserve"> min⁻¹</t>
        </is>
      </c>
      <c r="GC16" t="inlineStr">
        <is>
          <t>V</t>
        </is>
      </c>
      <c r="GD16" t="inlineStr">
        <is>
          <t>V</t>
        </is>
      </c>
      <c r="GQ16" t="inlineStr">
        <is>
          <t>V</t>
        </is>
      </c>
      <c r="GR16" t="inlineStr">
        <is>
          <t>V</t>
        </is>
      </c>
      <c r="GS16" t="inlineStr">
        <is>
          <t>mV</t>
        </is>
      </c>
      <c r="GT16" t="inlineStr">
        <is>
          <t>mV</t>
        </is>
      </c>
      <c r="GU16" t="inlineStr">
        <is>
          <t>°C</t>
        </is>
      </c>
      <c r="GV16" t="inlineStr">
        <is>
          <t>°C</t>
        </is>
      </c>
      <c r="GW16" t="inlineStr">
        <is>
          <t>%</t>
        </is>
      </c>
      <c r="GX16" t="inlineStr">
        <is>
          <t>°C</t>
        </is>
      </c>
      <c r="GY16" t="inlineStr">
        <is>
          <t>mmol mol⁻¹</t>
        </is>
      </c>
      <c r="GZ16" t="inlineStr">
        <is>
          <t>%</t>
        </is>
      </c>
      <c r="HA16" t="inlineStr">
        <is>
          <t>%</t>
        </is>
      </c>
      <c r="HC16" t="inlineStr">
        <is>
          <t>V</t>
        </is>
      </c>
      <c r="HD16" t="inlineStr">
        <is>
          <t>V</t>
        </is>
      </c>
      <c r="HE16" t="inlineStr">
        <is>
          <t>V</t>
        </is>
      </c>
      <c r="HF16" t="inlineStr">
        <is>
          <t>V</t>
        </is>
      </c>
      <c r="HG16" t="inlineStr">
        <is>
          <t>V</t>
        </is>
      </c>
      <c r="HH16" t="inlineStr">
        <is>
          <t>V</t>
        </is>
      </c>
      <c r="HI16" t="inlineStr">
        <is>
          <t>V</t>
        </is>
      </c>
      <c r="HJ16" t="inlineStr">
        <is>
          <t>mg</t>
        </is>
      </c>
      <c r="HK16" t="inlineStr">
        <is>
          <t>mg</t>
        </is>
      </c>
      <c r="HL16" t="inlineStr">
        <is>
          <t>mg</t>
        </is>
      </c>
      <c r="HM16" t="inlineStr">
        <is>
          <t>hrs</t>
        </is>
      </c>
      <c r="HN16" t="inlineStr">
        <is>
          <t>V</t>
        </is>
      </c>
      <c r="HO16" t="inlineStr">
        <is>
          <t>V</t>
        </is>
      </c>
      <c r="HP16" t="inlineStr">
        <is>
          <t>V</t>
        </is>
      </c>
      <c r="HQ16" t="inlineStr">
        <is>
          <t>V</t>
        </is>
      </c>
      <c r="HR16" t="inlineStr">
        <is>
          <t>V</t>
        </is>
      </c>
      <c r="HS16" t="inlineStr">
        <is>
          <t>V</t>
        </is>
      </c>
      <c r="HT16" t="inlineStr">
        <is>
          <t>V</t>
        </is>
      </c>
      <c r="HU16" t="inlineStr">
        <is>
          <t>V</t>
        </is>
      </c>
      <c r="HV16" t="inlineStr">
        <is>
          <t>V</t>
        </is>
      </c>
      <c r="HW16" t="inlineStr">
        <is>
          <t>V</t>
        </is>
      </c>
      <c r="HX16" t="inlineStr">
        <is>
          <t>V</t>
        </is>
      </c>
      <c r="HY16" t="inlineStr">
        <is>
          <t>V</t>
        </is>
      </c>
      <c r="IF16" t="inlineStr">
        <is>
          <t>V</t>
        </is>
      </c>
      <c r="IG16" t="inlineStr">
        <is>
          <t>%</t>
        </is>
      </c>
      <c r="IH16" t="inlineStr">
        <is>
          <t>%</t>
        </is>
      </c>
      <c r="II16" t="inlineStr">
        <is>
          <t>µmol/mol</t>
        </is>
      </c>
      <c r="IJ16" t="inlineStr">
        <is>
          <t>mmol/mol</t>
        </is>
      </c>
      <c r="IK16" t="inlineStr">
        <is>
          <t>µmol/mol</t>
        </is>
      </c>
      <c r="IO16" t="inlineStr">
        <is>
          <t>mmol/mol</t>
        </is>
      </c>
      <c r="IS16" t="inlineStr">
        <is>
          <t>µmol mol⁻¹</t>
        </is>
      </c>
      <c r="IT16" t="inlineStr">
        <is>
          <t>µmol mol⁻¹</t>
        </is>
      </c>
      <c r="IU16" t="inlineStr">
        <is>
          <t>mmol mol⁻¹</t>
        </is>
      </c>
      <c r="IV16" t="inlineStr">
        <is>
          <t>mmol mol⁻¹</t>
        </is>
      </c>
      <c r="IW16" t="inlineStr">
        <is>
          <t>min</t>
        </is>
      </c>
      <c r="IX16" t="inlineStr">
        <is>
          <t>min</t>
        </is>
      </c>
      <c r="IY16" t="inlineStr">
        <is>
          <t>V</t>
        </is>
      </c>
      <c r="IZ16" t="inlineStr">
        <is>
          <t>V</t>
        </is>
      </c>
      <c r="JA16" t="inlineStr">
        <is>
          <t>V</t>
        </is>
      </c>
      <c r="JB16" t="inlineStr">
        <is>
          <t>V</t>
        </is>
      </c>
      <c r="JC16" t="inlineStr">
        <is>
          <t>V</t>
        </is>
      </c>
      <c r="JD16" t="inlineStr">
        <is>
          <t>V</t>
        </is>
      </c>
      <c r="JE16" t="inlineStr">
        <is>
          <t>°C</t>
        </is>
      </c>
      <c r="JF16" t="inlineStr">
        <is>
          <t>V</t>
        </is>
      </c>
      <c r="JH16" t="inlineStr">
        <is>
          <t>µmol s⁻¹</t>
        </is>
      </c>
      <c r="JI16" t="inlineStr">
        <is>
          <t>µmol s⁻¹</t>
        </is>
      </c>
      <c r="JJ16" t="inlineStr">
        <is>
          <t>°C</t>
        </is>
      </c>
      <c r="JK16" t="inlineStr">
        <is>
          <t>°C</t>
        </is>
      </c>
      <c r="JL16" t="inlineStr">
        <is>
          <t>°C</t>
        </is>
      </c>
      <c r="JM16" t="inlineStr">
        <is>
          <t>°C</t>
        </is>
      </c>
      <c r="JN16" t="inlineStr">
        <is>
          <t>°C</t>
        </is>
      </c>
      <c r="JO16" t="inlineStr">
        <is>
          <t>%</t>
        </is>
      </c>
      <c r="JP16" t="inlineStr">
        <is>
          <t>%</t>
        </is>
      </c>
      <c r="JQ16" t="inlineStr">
        <is>
          <t>%</t>
        </is>
      </c>
      <c r="JR16" t="inlineStr">
        <is>
          <t>°C</t>
        </is>
      </c>
      <c r="JS16" t="inlineStr">
        <is>
          <t>µmol mol⁻¹</t>
        </is>
      </c>
      <c r="JT16" t="inlineStr">
        <is>
          <t>mmol mol⁻¹</t>
        </is>
      </c>
      <c r="JU16" t="inlineStr">
        <is>
          <t>%</t>
        </is>
      </c>
      <c r="JV16" t="inlineStr">
        <is>
          <t>%</t>
        </is>
      </c>
    </row>
    <row r="17">
      <c r="A17" t="n">
        <v>1</v>
      </c>
      <c r="B17" t="n">
        <v>1792299995</v>
      </c>
      <c r="C17" t="n">
        <v>0</v>
      </c>
      <c r="D17" t="inlineStr">
        <is>
          <t>20261018 14:06:35</t>
        </is>
      </c>
      <c r="E17" t="inlineStr">
        <is>
          <t>14:06:35</t>
        </is>
      </c>
      <c r="F17" t="n">
        <v>5</v>
      </c>
      <c r="G17" t="n">
        <v>1792299992</v>
      </c>
      <c r="H17">
        <f>(I17)/1000</f>
        <v/>
      </c>
      <c r="I17">
        <f>1000*DI17*AG17*(DE17-DF17)/(100*CX17*(1000-AG17*DE17))</f>
        <v/>
      </c>
      <c r="J17">
        <f>DI17*AG17*(DD17-DC17*(1000-AG17*DF17)/(1000-AG17*DE17))/(100*CX17)</f>
        <v/>
      </c>
      <c r="K17">
        <f>DC17 - IF(AG17&gt;1, J17*CX17*100.0/(AI17), 0)</f>
        <v/>
      </c>
      <c r="L17">
        <f>((R17-H17/2)*K17-J17)/(R17+H17/2)</f>
        <v/>
      </c>
      <c r="M17">
        <f>L17*(DJ17+DK17)/1000.0</f>
        <v/>
      </c>
      <c r="N17">
        <f>(DC17 - IF(AG17&gt;1, J17*CX17*100.0/(AI17), 0))*(DJ17+DK17)/1000.0</f>
        <v/>
      </c>
      <c r="O17">
        <f>2.0/((1/Q17-1/P17)+SIGN(Q17)*SQRT((1/Q17-1/P17)*(1/Q17-1/P17) + 4*CY17/((CY17+1)*(CY17+1))*(2*1/Q17*1/P17-1/P17*1/P17)))</f>
        <v/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/>
      </c>
      <c r="Q17">
        <f>H17*(1000-(1000*0.61365*exp(17.502*U17/(240.97+U17))/(DJ17+DK17)+DE17)/2)/(1000*0.61365*exp(17.502*U17/(240.97+U17))/(DJ17+DK17)-DE17)</f>
        <v/>
      </c>
      <c r="R17">
        <f>1/((CY17+1)/(O17/1.6)+1/(P17/1.37)) + CY17/((CY17+1)/(O17/1.6) + CY17/(P17/1.37))</f>
        <v/>
      </c>
      <c r="S17">
        <f>(CT17*CW17)</f>
        <v/>
      </c>
      <c r="T17">
        <f>(DL17+(S17+2*0.95*5.67E-8*(((DL17+$B$7)+273)^4-(DL17+273)^4)-44100*H17)/(1.84*29.3*P17+8*0.95*5.67E-8*(DL17+273)^3))</f>
        <v/>
      </c>
      <c r="U17">
        <f>($C$7*DM17+$D$7*DN17+$E$7*T17)</f>
        <v/>
      </c>
      <c r="V17">
        <f>0.61365*exp(17.502*U17/(240.97+U17))</f>
        <v/>
      </c>
      <c r="W17">
        <f>(X17/Y17*100)</f>
        <v/>
      </c>
      <c r="X17">
        <f>DE17*(DJ17+DK17)/1000</f>
        <v/>
      </c>
      <c r="Y17">
        <f>0.61365*exp(17.502*DL17/(240.97+DL17))</f>
        <v/>
      </c>
      <c r="Z17">
        <f>(V17-DE17*(DJ17+DK17)/1000)</f>
        <v/>
      </c>
      <c r="AA17">
        <f>(-H17*44100)</f>
        <v/>
      </c>
      <c r="AB17">
        <f>2*29.3*P17*0.92*(DL17-U17)</f>
        <v/>
      </c>
      <c r="AC17">
        <f>2*0.95*5.67E-8*(((DL17+$B$7)+273)^4-(U17+273)^4)</f>
        <v/>
      </c>
      <c r="AD17">
        <f>S17+AC17+AA17+AB17</f>
        <v/>
      </c>
      <c r="AE17" t="n">
        <v>0</v>
      </c>
      <c r="AF17" t="n">
        <v>0</v>
      </c>
      <c r="AG17">
        <f>IF(AE17*$H$13&gt;=AI17,1.0,(AI17/(AI17-AE17*$H$13)))</f>
        <v/>
      </c>
      <c r="AH17">
        <f>(AG17-1)*100</f>
        <v/>
      </c>
      <c r="AI17">
        <f>MAX(0,($B$13+$C$13*DQ17)/(1+$D$13*DQ17)*DJ17/(DL17+273)*$E$13)</f>
        <v/>
      </c>
      <c r="AJ17" t="inlineStr">
        <is>
          <t>-</t>
        </is>
      </c>
      <c r="AK17" t="inlineStr">
        <is>
          <t>-</t>
        </is>
      </c>
      <c r="AL17" t="n">
        <v>0</v>
      </c>
      <c r="AM17" t="n">
        <v>0</v>
      </c>
      <c r="AN17">
        <f>1-AL17/AM17</f>
        <v/>
      </c>
      <c r="AO17" t="n">
        <v>0</v>
      </c>
      <c r="AP17" t="inlineStr">
        <is>
          <t>-</t>
        </is>
      </c>
      <c r="AQ17" t="inlineStr">
        <is>
          <t>-</t>
        </is>
      </c>
      <c r="AR17" t="n">
        <v>0</v>
      </c>
      <c r="AS17" t="n">
        <v>0</v>
      </c>
      <c r="AT17">
        <f>1-AR17/AS17</f>
        <v/>
      </c>
      <c r="AU17" t="n">
        <v>0.5</v>
      </c>
      <c r="AV17">
        <f>CU17</f>
        <v/>
      </c>
      <c r="AW17">
        <f>J17</f>
        <v/>
      </c>
      <c r="AX17">
        <f>AT17*AU17*AV17</f>
        <v/>
      </c>
      <c r="AY17">
        <f>(AW17-AO17)/AV17</f>
        <v/>
      </c>
      <c r="AZ17">
        <f>(AM17-AS17)/AS17</f>
        <v/>
      </c>
      <c r="BA17">
        <f>AL17/(AN17+AL17/AS17)</f>
        <v/>
      </c>
      <c r="BB17" t="inlineStr">
        <is>
          <t>-</t>
        </is>
      </c>
      <c r="BC17" t="n">
        <v>0</v>
      </c>
      <c r="BD17">
        <f>IF(BC17&lt;&gt;0, BC17, BA17)</f>
        <v/>
      </c>
      <c r="BE17">
        <f>1-BD17/AS17</f>
        <v/>
      </c>
      <c r="BF17">
        <f>(AS17-AR17)/(AS17-BD17)</f>
        <v/>
      </c>
      <c r="BG17">
        <f>(AM17-AS17)/(AM17-BD17)</f>
        <v/>
      </c>
      <c r="BH17">
        <f>(AS17-AR17)/(AS17-AL17)</f>
        <v/>
      </c>
      <c r="BI17">
        <f>(AM17-AS17)/(AM17-AL17)</f>
        <v/>
      </c>
      <c r="BJ17">
        <f>(BF17*BD17/AR17)</f>
        <v/>
      </c>
      <c r="BK17">
        <f>(1-BJ17)</f>
        <v/>
      </c>
      <c r="BL17" t="n">
        <v>1166</v>
      </c>
      <c r="BM17" t="n">
        <v>290</v>
      </c>
      <c r="BN17" t="n">
        <v>1275.63</v>
      </c>
      <c r="BO17" t="n">
        <v>145</v>
      </c>
      <c r="BP17" t="n">
        <v>8135.53</v>
      </c>
      <c r="BQ17" t="n">
        <v>1265.26</v>
      </c>
      <c r="BR17" t="n">
        <v>10.37</v>
      </c>
      <c r="BS17" t="n">
        <v>300</v>
      </c>
      <c r="BT17" t="n">
        <v>19.3</v>
      </c>
      <c r="BU17" t="n">
        <v>1332.45541265344</v>
      </c>
      <c r="BV17" t="n">
        <v>1.81080575079226</v>
      </c>
      <c r="BW17" t="n">
        <v>-54.6693079656955</v>
      </c>
      <c r="BX17" t="n">
        <v>1.31551974861254</v>
      </c>
      <c r="BY17" t="n">
        <v>0.984045586611453</v>
      </c>
      <c r="BZ17" t="n">
        <v>-0.00539105072302559</v>
      </c>
      <c r="CA17" t="n">
        <v>290</v>
      </c>
      <c r="CB17" t="n">
        <v>1248.3</v>
      </c>
      <c r="CC17" t="n">
        <v>615</v>
      </c>
      <c r="CD17" t="n">
        <v>8117.41</v>
      </c>
      <c r="CE17" t="n">
        <v>1265.11</v>
      </c>
      <c r="CF17" t="n">
        <v>-16.81</v>
      </c>
      <c r="CT17">
        <f>$B$11*DR17+$C$11*DS17+$F$11*ED17*(1-EG17)</f>
        <v/>
      </c>
      <c r="CU17">
        <f>CT17*CV17</f>
        <v/>
      </c>
      <c r="CV17">
        <f>($B$11*$D$9+$C$11*$D$9+$F$11*((EQ17+EI17)/MAX(EQ17+EI17+ER17, 0.1)*$I$9+ER17/MAX(EQ17+EI17+ER17, 0.1)*$J$9))/($B$11+$C$11+$F$11)</f>
        <v/>
      </c>
      <c r="CW17">
        <f>($B$11*$K$9+$C$11*$K$9+$F$11*((EQ17+EI17)/MAX(EQ17+EI17+ER17, 0.1)*$P$9+ER17/MAX(EQ17+EI17+ER17, 0.1)*$Q$9))/($B$11+$C$11+$F$11)</f>
        <v/>
      </c>
      <c r="CX17" t="n">
        <v>2</v>
      </c>
      <c r="CY17" t="n">
        <v>0.5</v>
      </c>
      <c r="CZ17" t="inlineStr">
        <is>
          <t>0: Broadleaf</t>
        </is>
      </c>
      <c r="DA17" t="n">
        <v>2</v>
      </c>
      <c r="DB17" t="n">
        <v>1792299992</v>
      </c>
      <c r="DC17" t="n">
        <v>392.91</v>
      </c>
      <c r="DD17" t="n">
        <v>400.0152</v>
      </c>
      <c r="DE17" t="n">
        <v>17.41058</v>
      </c>
      <c r="DF17" t="n">
        <v>15.59348</v>
      </c>
      <c r="DG17" t="n">
        <v>392.1172</v>
      </c>
      <c r="DH17" t="n">
        <v>17.515</v>
      </c>
      <c r="DI17" t="n">
        <v>500.0014</v>
      </c>
      <c r="DJ17" t="n">
        <v>100.8622</v>
      </c>
      <c r="DK17" t="n">
        <v>0.09995844</v>
      </c>
      <c r="DL17" t="n">
        <v>25.0728</v>
      </c>
      <c r="DM17" t="n">
        <v>24.99532</v>
      </c>
      <c r="DN17" t="n">
        <v>999.9</v>
      </c>
      <c r="DO17" t="n">
        <v>0</v>
      </c>
      <c r="DP17" t="n">
        <v>0</v>
      </c>
      <c r="DQ17" t="n">
        <v>10000.25</v>
      </c>
      <c r="DR17" t="n">
        <v>0</v>
      </c>
      <c r="DS17" t="n">
        <v>5.94705</v>
      </c>
      <c r="DT17" t="n">
        <v>-7.105064</v>
      </c>
      <c r="DU17" t="n">
        <v>399.8722</v>
      </c>
      <c r="DV17" t="n">
        <v>406.3518</v>
      </c>
      <c r="DW17" t="n">
        <v>1.817078</v>
      </c>
      <c r="DX17" t="n">
        <v>400.0152</v>
      </c>
      <c r="DY17" t="n">
        <v>15.59348</v>
      </c>
      <c r="DZ17" t="n">
        <v>1.75607</v>
      </c>
      <c r="EA17" t="n">
        <v>1.572794</v>
      </c>
      <c r="EB17" t="n">
        <v>15.40112</v>
      </c>
      <c r="EC17" t="n">
        <v>13.69478</v>
      </c>
      <c r="ED17" t="n">
        <v>1499.996</v>
      </c>
      <c r="EE17" t="n">
        <v>0.9730022</v>
      </c>
      <c r="EF17" t="n">
        <v>0.02699758</v>
      </c>
      <c r="EG17" t="n">
        <v>0</v>
      </c>
      <c r="EH17" t="n">
        <v>236.1896</v>
      </c>
      <c r="EI17" t="n">
        <v>5.00064</v>
      </c>
      <c r="EJ17" t="n">
        <v>3803.874</v>
      </c>
      <c r="EK17" t="n">
        <v>15439.18</v>
      </c>
      <c r="EL17" t="n">
        <v>41.1124</v>
      </c>
      <c r="EM17" t="n">
        <v>41.7996</v>
      </c>
      <c r="EN17" t="n">
        <v>41.4246</v>
      </c>
      <c r="EO17" t="n">
        <v>41.437</v>
      </c>
      <c r="EP17" t="n">
        <v>42.562</v>
      </c>
      <c r="EQ17" t="n">
        <v>1454.636</v>
      </c>
      <c r="ER17" t="n">
        <v>40.36</v>
      </c>
      <c r="ES17" t="n">
        <v>0</v>
      </c>
      <c r="ET17" t="n">
        <v>1850.70000004768</v>
      </c>
      <c r="EU17" t="n">
        <v>0</v>
      </c>
      <c r="EV17" t="n">
        <v>236.19692</v>
      </c>
      <c r="EW17" t="n">
        <v>0.0438461574826</v>
      </c>
      <c r="EX17" t="n">
        <v>6.83307692132203</v>
      </c>
      <c r="EY17" t="n">
        <v>3803.4844</v>
      </c>
      <c r="EZ17" t="n">
        <v>15</v>
      </c>
      <c r="FA17" t="n">
        <v>1792299934</v>
      </c>
      <c r="FB17" t="inlineStr">
        <is>
          <t>14:05:34</t>
        </is>
      </c>
      <c r="FC17" t="n">
        <v>1792299928</v>
      </c>
      <c r="FD17" t="n">
        <v>1792299934</v>
      </c>
      <c r="FE17" t="n">
        <v>41</v>
      </c>
      <c r="FF17" t="n">
        <v>-0.03</v>
      </c>
      <c r="FG17" t="n">
        <v>0</v>
      </c>
      <c r="FH17" t="n">
        <v>0.796</v>
      </c>
      <c r="FI17" t="n">
        <v>-0.17</v>
      </c>
      <c r="FJ17" t="n">
        <v>400</v>
      </c>
      <c r="FK17" t="n">
        <v>16</v>
      </c>
      <c r="FL17" t="n">
        <v>0.25</v>
      </c>
      <c r="FM17" t="n">
        <v>0.04</v>
      </c>
      <c r="FN17" t="n">
        <v>15.8293491707735</v>
      </c>
      <c r="FO17" t="n">
        <v>0.498887126120373</v>
      </c>
      <c r="FP17" t="n">
        <v>0.117279487490682</v>
      </c>
      <c r="FQ17" t="n">
        <v>1</v>
      </c>
      <c r="FR17" t="n">
        <v>-7.0640855</v>
      </c>
      <c r="FS17" t="n">
        <v>-0.214179699248137</v>
      </c>
      <c r="FT17" t="n">
        <v>0.0484942643489929</v>
      </c>
      <c r="FU17" t="n">
        <v>1</v>
      </c>
      <c r="FV17" t="n">
        <v>236.181029411765</v>
      </c>
      <c r="FW17" t="n">
        <v>-0.218349884294754</v>
      </c>
      <c r="FX17" t="n">
        <v>0.162874813944024</v>
      </c>
      <c r="FY17" t="n">
        <v>1</v>
      </c>
      <c r="FZ17" t="n">
        <v>3</v>
      </c>
      <c r="GA17" t="n">
        <v>3</v>
      </c>
      <c r="GB17" t="inlineStr">
        <is>
          <t>3/3</t>
        </is>
      </c>
      <c r="GC17" t="n">
        <v>3.12325</v>
      </c>
      <c r="GD17" t="n">
        <v>2.76534</v>
      </c>
      <c r="GE17" t="n">
        <v>0.0862556</v>
      </c>
      <c r="GF17" t="n">
        <v>0.08973689999999999</v>
      </c>
      <c r="GG17" t="n">
        <v>0.092681</v>
      </c>
      <c r="GH17" t="n">
        <v>0.08861040000000001</v>
      </c>
      <c r="GI17" t="n">
        <v>17790.4</v>
      </c>
      <c r="GJ17" t="n">
        <v>26731</v>
      </c>
      <c r="GK17" t="n">
        <v>22751.4</v>
      </c>
      <c r="GL17" t="n">
        <v>30092.1</v>
      </c>
      <c r="GM17" t="n">
        <v>33862.6</v>
      </c>
      <c r="GN17" t="n">
        <v>34171.8</v>
      </c>
      <c r="GO17" t="n">
        <v>43049.6</v>
      </c>
      <c r="GP17" t="n">
        <v>42864.8</v>
      </c>
      <c r="GQ17" t="n">
        <v>1.97008</v>
      </c>
      <c r="GR17" t="n">
        <v>1.80483</v>
      </c>
      <c r="GS17" t="n">
        <v>0.0750758</v>
      </c>
      <c r="GT17" t="n">
        <v>0</v>
      </c>
      <c r="GU17" t="n">
        <v>23.7513</v>
      </c>
      <c r="GV17" t="n">
        <v>999.9</v>
      </c>
      <c r="GW17" t="n">
        <v>40.935</v>
      </c>
      <c r="GX17" t="n">
        <v>32.579</v>
      </c>
      <c r="GY17" t="n">
        <v>20.0239</v>
      </c>
      <c r="GZ17" t="n">
        <v>63.0414</v>
      </c>
      <c r="HA17" t="n">
        <v>36.3822</v>
      </c>
      <c r="HB17" t="n">
        <v>1</v>
      </c>
      <c r="HC17" t="n">
        <v>-0.04422</v>
      </c>
      <c r="HD17" t="n">
        <v>2.29536</v>
      </c>
      <c r="HE17" t="n">
        <v>20.2237</v>
      </c>
      <c r="HF17" t="n">
        <v>5.23436</v>
      </c>
      <c r="HG17" t="n">
        <v>11.962</v>
      </c>
      <c r="HH17" t="n">
        <v>4.96915</v>
      </c>
      <c r="HI17" t="n">
        <v>3.29503</v>
      </c>
      <c r="HJ17" t="n">
        <v>9999</v>
      </c>
      <c r="HK17" t="n">
        <v>9999</v>
      </c>
      <c r="HL17" t="n">
        <v>9999</v>
      </c>
      <c r="HM17" t="n">
        <v>999.9</v>
      </c>
      <c r="HN17" t="n">
        <v>4.96859</v>
      </c>
      <c r="HO17" t="n">
        <v>1.86248</v>
      </c>
      <c r="HP17" t="n">
        <v>1.86401</v>
      </c>
      <c r="HQ17" t="n">
        <v>1.86592</v>
      </c>
      <c r="HR17" t="n">
        <v>1.86295</v>
      </c>
      <c r="HS17" t="n">
        <v>1.86661</v>
      </c>
      <c r="HT17" t="n">
        <v>1.8634</v>
      </c>
      <c r="HU17" t="n">
        <v>1.86533</v>
      </c>
      <c r="HV17" t="n">
        <v>0</v>
      </c>
      <c r="HW17" t="n">
        <v>0</v>
      </c>
      <c r="HX17" t="n">
        <v>0</v>
      </c>
      <c r="HY17" t="n">
        <v>0</v>
      </c>
      <c r="HZ17" t="inlineStr">
        <is>
          <t>11111111</t>
        </is>
      </c>
      <c r="IA17" t="inlineStr">
        <is>
          <t>oooooooo</t>
        </is>
      </c>
      <c r="IB17" t="inlineStr">
        <is>
          <t>on</t>
        </is>
      </c>
      <c r="IC17" t="inlineStr">
        <is>
          <t>on</t>
        </is>
      </c>
      <c r="ID17" t="inlineStr">
        <is>
          <t>on</t>
        </is>
      </c>
      <c r="IE17" t="inlineStr">
        <is>
          <t>on</t>
        </is>
      </c>
      <c r="IF17" t="n">
        <v>0</v>
      </c>
      <c r="IG17" t="n">
        <v>100</v>
      </c>
      <c r="IH17" t="n">
        <v>100</v>
      </c>
      <c r="II17" t="n">
        <v>0.793</v>
      </c>
      <c r="IJ17" t="n">
        <v>-0.1047</v>
      </c>
      <c r="IK17" t="n">
        <v>0.6692596769265829</v>
      </c>
      <c r="IL17" t="n">
        <v>0.000216929631606078</v>
      </c>
      <c r="IM17" t="n">
        <v>2.72263024731635e-07</v>
      </c>
      <c r="IN17" t="n">
        <v>-5.43792051235154e-11</v>
      </c>
      <c r="IO17" t="n">
        <v>-0.015287467420821</v>
      </c>
      <c r="IP17" t="n">
        <v>-0.0584433849545669</v>
      </c>
      <c r="IQ17" t="n">
        <v>0.00341568706061026</v>
      </c>
      <c r="IR17" t="n">
        <v>-2.10952612506686e-05</v>
      </c>
      <c r="IS17" t="n">
        <v>0</v>
      </c>
      <c r="IT17" t="n">
        <v>1734</v>
      </c>
      <c r="IU17" t="n">
        <v>2</v>
      </c>
      <c r="IV17" t="n">
        <v>19</v>
      </c>
      <c r="IW17" t="n">
        <v>1.1</v>
      </c>
      <c r="IX17" t="n">
        <v>1</v>
      </c>
      <c r="IY17" t="n">
        <v>1.05469</v>
      </c>
      <c r="IZ17" t="n">
        <v>2.56348</v>
      </c>
      <c r="JA17" t="n">
        <v>1.34644</v>
      </c>
      <c r="JB17" t="n">
        <v>2.26074</v>
      </c>
      <c r="JC17" t="n">
        <v>1.55029</v>
      </c>
      <c r="JD17" t="n">
        <v>2.7063</v>
      </c>
      <c r="JE17" t="n">
        <v>36.5051</v>
      </c>
      <c r="JF17" t="n">
        <v>15.0952</v>
      </c>
      <c r="JG17" t="n">
        <v>18</v>
      </c>
      <c r="JH17" t="n">
        <v>501.738</v>
      </c>
      <c r="JI17" t="n">
        <v>472.555</v>
      </c>
      <c r="JJ17" t="n">
        <v>21.5708</v>
      </c>
      <c r="JK17" t="n">
        <v>28.3469</v>
      </c>
      <c r="JL17" t="n">
        <v>29.9999</v>
      </c>
      <c r="JM17" t="n">
        <v>28.3503</v>
      </c>
      <c r="JN17" t="n">
        <v>28.3666</v>
      </c>
      <c r="JO17" t="n">
        <v>21.1175</v>
      </c>
      <c r="JP17" t="n">
        <v>31.0891</v>
      </c>
      <c r="JQ17" t="n">
        <v>25.4711</v>
      </c>
      <c r="JR17" t="n">
        <v>21.5738</v>
      </c>
      <c r="JS17" t="n">
        <v>400</v>
      </c>
      <c r="JT17" t="n">
        <v>15.6178</v>
      </c>
      <c r="JU17" t="n">
        <v>101.649</v>
      </c>
      <c r="JV17" t="n">
        <v>97.3306</v>
      </c>
    </row>
    <row r="18">
      <c r="A18" t="n">
        <v>2</v>
      </c>
      <c r="B18" t="n">
        <v>1792300116</v>
      </c>
      <c r="C18" t="n">
        <v>121</v>
      </c>
      <c r="D18" t="inlineStr">
        <is>
          <t>20261018 14:08:36</t>
        </is>
      </c>
      <c r="E18" t="inlineStr">
        <is>
          <t>14:08:36</t>
        </is>
      </c>
      <c r="F18" t="n">
        <v>5</v>
      </c>
      <c r="G18" t="n">
        <v>1792300113</v>
      </c>
      <c r="H18">
        <f>(I18)/1000</f>
        <v/>
      </c>
      <c r="I18">
        <f>1000*DI18*AG18*(DE18-DF18)/(100*CX18*(1000-AG18*DE18))</f>
        <v/>
      </c>
      <c r="J18">
        <f>DI18*AG18*(DD18-DC18*(1000-AG18*DF18)/(1000-AG18*DE18))/(100*CX18)</f>
        <v/>
      </c>
      <c r="K18">
        <f>DC18 - IF(AG18&gt;1, J18*CX18*100.0/(AI18), 0)</f>
        <v/>
      </c>
      <c r="L18">
        <f>((R18-H18/2)*K18-J18)/(R18+H18/2)</f>
        <v/>
      </c>
      <c r="M18">
        <f>L18*(DJ18+DK18)/1000.0</f>
        <v/>
      </c>
      <c r="N18">
        <f>(DC18 - IF(AG18&gt;1, J18*CX18*100.0/(AI18), 0))*(DJ18+DK18)/1000.0</f>
        <v/>
      </c>
      <c r="O18">
        <f>2.0/((1/Q18-1/P18)+SIGN(Q18)*SQRT((1/Q18-1/P18)*(1/Q18-1/P18) + 4*CY18/((CY18+1)*(CY18+1))*(2*1/Q18*1/P18-1/P18*1/P18)))</f>
        <v/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/>
      </c>
      <c r="Q18">
        <f>H18*(1000-(1000*0.61365*exp(17.502*U18/(240.97+U18))/(DJ18+DK18)+DE18)/2)/(1000*0.61365*exp(17.502*U18/(240.97+U18))/(DJ18+DK18)-DE18)</f>
        <v/>
      </c>
      <c r="R18">
        <f>1/((CY18+1)/(O18/1.6)+1/(P18/1.37)) + CY18/((CY18+1)/(O18/1.6) + CY18/(P18/1.37))</f>
        <v/>
      </c>
      <c r="S18">
        <f>(CT18*CW18)</f>
        <v/>
      </c>
      <c r="T18">
        <f>(DL18+(S18+2*0.95*5.67E-8*(((DL18+$B$7)+273)^4-(DL18+273)^4)-44100*H18)/(1.84*29.3*P18+8*0.95*5.67E-8*(DL18+273)^3))</f>
        <v/>
      </c>
      <c r="U18">
        <f>($C$7*DM18+$D$7*DN18+$E$7*T18)</f>
        <v/>
      </c>
      <c r="V18">
        <f>0.61365*exp(17.502*U18/(240.97+U18))</f>
        <v/>
      </c>
      <c r="W18">
        <f>(X18/Y18*100)</f>
        <v/>
      </c>
      <c r="X18">
        <f>DE18*(DJ18+DK18)/1000</f>
        <v/>
      </c>
      <c r="Y18">
        <f>0.61365*exp(17.502*DL18/(240.97+DL18))</f>
        <v/>
      </c>
      <c r="Z18">
        <f>(V18-DE18*(DJ18+DK18)/1000)</f>
        <v/>
      </c>
      <c r="AA18">
        <f>(-H18*44100)</f>
        <v/>
      </c>
      <c r="AB18">
        <f>2*29.3*P18*0.92*(DL18-U18)</f>
        <v/>
      </c>
      <c r="AC18">
        <f>2*0.95*5.67E-8*(((DL18+$B$7)+273)^4-(U18+273)^4)</f>
        <v/>
      </c>
      <c r="AD18">
        <f>S18+AC18+AA18+AB18</f>
        <v/>
      </c>
      <c r="AE18" t="n">
        <v>0</v>
      </c>
      <c r="AF18" t="n">
        <v>0</v>
      </c>
      <c r="AG18">
        <f>IF(AE18*$H$13&gt;=AI18,1.0,(AI18/(AI18-AE18*$H$13)))</f>
        <v/>
      </c>
      <c r="AH18">
        <f>(AG18-1)*100</f>
        <v/>
      </c>
      <c r="AI18">
        <f>MAX(0,($B$13+$C$13*DQ18)/(1+$D$13*DQ18)*DJ18/(DL18+273)*$E$13)</f>
        <v/>
      </c>
      <c r="AJ18" t="inlineStr">
        <is>
          <t>-</t>
        </is>
      </c>
      <c r="AK18" t="inlineStr">
        <is>
          <t>-</t>
        </is>
      </c>
      <c r="AL18" t="n">
        <v>0</v>
      </c>
      <c r="AM18" t="n">
        <v>0</v>
      </c>
      <c r="AN18">
        <f>1-AL18/AM18</f>
        <v/>
      </c>
      <c r="AO18" t="n">
        <v>0</v>
      </c>
      <c r="AP18" t="inlineStr">
        <is>
          <t>-</t>
        </is>
      </c>
      <c r="AQ18" t="inlineStr">
        <is>
          <t>-</t>
        </is>
      </c>
      <c r="AR18" t="n">
        <v>0</v>
      </c>
      <c r="AS18" t="n">
        <v>0</v>
      </c>
      <c r="AT18">
        <f>1-AR18/AS18</f>
        <v/>
      </c>
      <c r="AU18" t="n">
        <v>0.5</v>
      </c>
      <c r="AV18">
        <f>CU18</f>
        <v/>
      </c>
      <c r="AW18">
        <f>J18</f>
        <v/>
      </c>
      <c r="AX18">
        <f>AT18*AU18*AV18</f>
        <v/>
      </c>
      <c r="AY18">
        <f>(AW18-AO18)/AV18</f>
        <v/>
      </c>
      <c r="AZ18">
        <f>(AM18-AS18)/AS18</f>
        <v/>
      </c>
      <c r="BA18">
        <f>AL18/(AN18+AL18/AS18)</f>
        <v/>
      </c>
      <c r="BB18" t="inlineStr">
        <is>
          <t>-</t>
        </is>
      </c>
      <c r="BC18" t="n">
        <v>0</v>
      </c>
      <c r="BD18">
        <f>IF(BC18&lt;&gt;0, BC18, BA18)</f>
        <v/>
      </c>
      <c r="BE18">
        <f>1-BD18/AS18</f>
        <v/>
      </c>
      <c r="BF18">
        <f>(AS18-AR18)/(AS18-BD18)</f>
        <v/>
      </c>
      <c r="BG18">
        <f>(AM18-AS18)/(AM18-BD18)</f>
        <v/>
      </c>
      <c r="BH18">
        <f>(AS18-AR18)/(AS18-AL18)</f>
        <v/>
      </c>
      <c r="BI18">
        <f>(AM18-AS18)/(AM18-AL18)</f>
        <v/>
      </c>
      <c r="BJ18">
        <f>(BF18*BD18/AR18)</f>
        <v/>
      </c>
      <c r="BK18">
        <f>(1-BJ18)</f>
        <v/>
      </c>
      <c r="BL18" t="n">
        <v>1166</v>
      </c>
      <c r="BM18" t="n">
        <v>290</v>
      </c>
      <c r="BN18" t="n">
        <v>1275.63</v>
      </c>
      <c r="BO18" t="n">
        <v>145</v>
      </c>
      <c r="BP18" t="n">
        <v>8135.53</v>
      </c>
      <c r="BQ18" t="n">
        <v>1265.26</v>
      </c>
      <c r="BR18" t="n">
        <v>10.37</v>
      </c>
      <c r="BS18" t="n">
        <v>300</v>
      </c>
      <c r="BT18" t="n">
        <v>19.3</v>
      </c>
      <c r="BU18" t="n">
        <v>1332.45541265344</v>
      </c>
      <c r="BV18" t="n">
        <v>1.81080575079226</v>
      </c>
      <c r="BW18" t="n">
        <v>-54.6693079656955</v>
      </c>
      <c r="BX18" t="n">
        <v>1.31551974861254</v>
      </c>
      <c r="BY18" t="n">
        <v>0.984045586611453</v>
      </c>
      <c r="BZ18" t="n">
        <v>-0.00539105072302559</v>
      </c>
      <c r="CA18" t="n">
        <v>290</v>
      </c>
      <c r="CB18" t="n">
        <v>1248.3</v>
      </c>
      <c r="CC18" t="n">
        <v>615</v>
      </c>
      <c r="CD18" t="n">
        <v>8117.41</v>
      </c>
      <c r="CE18" t="n">
        <v>1265.11</v>
      </c>
      <c r="CF18" t="n">
        <v>-16.81</v>
      </c>
      <c r="CT18">
        <f>$B$11*DR18+$C$11*DS18+$F$11*ED18*(1-EG18)</f>
        <v/>
      </c>
      <c r="CU18">
        <f>CT18*CV18</f>
        <v/>
      </c>
      <c r="CV18">
        <f>($B$11*$D$9+$C$11*$D$9+$F$11*((EQ18+EI18)/MAX(EQ18+EI18+ER18, 0.1)*$I$9+ER18/MAX(EQ18+EI18+ER18, 0.1)*$J$9))/($B$11+$C$11+$F$11)</f>
        <v/>
      </c>
      <c r="CW18">
        <f>($B$11*$K$9+$C$11*$K$9+$F$11*((EQ18+EI18)/MAX(EQ18+EI18+ER18, 0.1)*$P$9+ER18/MAX(EQ18+EI18+ER18, 0.1)*$Q$9))/($B$11+$C$11+$F$11)</f>
        <v/>
      </c>
      <c r="CX18" t="n">
        <v>2</v>
      </c>
      <c r="CY18" t="n">
        <v>0.5</v>
      </c>
      <c r="CZ18" t="inlineStr">
        <is>
          <t>0: Broadleaf</t>
        </is>
      </c>
      <c r="DA18" t="n">
        <v>2</v>
      </c>
      <c r="DB18" t="n">
        <v>1792300113</v>
      </c>
      <c r="DC18" t="n">
        <v>294.5332</v>
      </c>
      <c r="DD18" t="n">
        <v>300.0006</v>
      </c>
      <c r="DE18" t="n">
        <v>17.4616</v>
      </c>
      <c r="DF18" t="n">
        <v>15.57054</v>
      </c>
      <c r="DG18" t="n">
        <v>293.9752</v>
      </c>
      <c r="DH18" t="n">
        <v>17.56376</v>
      </c>
      <c r="DI18" t="n">
        <v>500.024</v>
      </c>
      <c r="DJ18" t="n">
        <v>100.8588</v>
      </c>
      <c r="DK18" t="n">
        <v>0.10004678</v>
      </c>
      <c r="DL18" t="n">
        <v>25.09088</v>
      </c>
      <c r="DM18" t="n">
        <v>24.98464</v>
      </c>
      <c r="DN18" t="n">
        <v>999.9</v>
      </c>
      <c r="DO18" t="n">
        <v>0</v>
      </c>
      <c r="DP18" t="n">
        <v>0</v>
      </c>
      <c r="DQ18" t="n">
        <v>9992.752</v>
      </c>
      <c r="DR18" t="n">
        <v>0</v>
      </c>
      <c r="DS18" t="n">
        <v>5.990698</v>
      </c>
      <c r="DT18" t="n">
        <v>-5.467626</v>
      </c>
      <c r="DU18" t="n">
        <v>299.7676</v>
      </c>
      <c r="DV18" t="n">
        <v>304.7456</v>
      </c>
      <c r="DW18" t="n">
        <v>1.891088</v>
      </c>
      <c r="DX18" t="n">
        <v>300.0006</v>
      </c>
      <c r="DY18" t="n">
        <v>15.57054</v>
      </c>
      <c r="DZ18" t="n">
        <v>1.761158</v>
      </c>
      <c r="EA18" t="n">
        <v>1.570426</v>
      </c>
      <c r="EB18" t="n">
        <v>15.44624</v>
      </c>
      <c r="EC18" t="n">
        <v>13.67162</v>
      </c>
      <c r="ED18" t="n">
        <v>1499.99</v>
      </c>
      <c r="EE18" t="n">
        <v>0.973003</v>
      </c>
      <c r="EF18" t="n">
        <v>0.0269968</v>
      </c>
      <c r="EG18" t="n">
        <v>0</v>
      </c>
      <c r="EH18" t="n">
        <v>224.495</v>
      </c>
      <c r="EI18" t="n">
        <v>5.00064</v>
      </c>
      <c r="EJ18" t="n">
        <v>3620.162</v>
      </c>
      <c r="EK18" t="n">
        <v>15439.14</v>
      </c>
      <c r="EL18" t="n">
        <v>41.125</v>
      </c>
      <c r="EM18" t="n">
        <v>41.875</v>
      </c>
      <c r="EN18" t="n">
        <v>41.5</v>
      </c>
      <c r="EO18" t="n">
        <v>41.4622</v>
      </c>
      <c r="EP18" t="n">
        <v>42.625</v>
      </c>
      <c r="EQ18" t="n">
        <v>1454.63</v>
      </c>
      <c r="ER18" t="n">
        <v>40.36</v>
      </c>
      <c r="ES18" t="n">
        <v>0</v>
      </c>
      <c r="ET18" t="n">
        <v>1971.90000009537</v>
      </c>
      <c r="EU18" t="n">
        <v>0</v>
      </c>
      <c r="EV18" t="n">
        <v>224.4264</v>
      </c>
      <c r="EW18" t="n">
        <v>0.368615391743355</v>
      </c>
      <c r="EX18" t="n">
        <v>-5.38692309184422</v>
      </c>
      <c r="EY18" t="n">
        <v>3620.2988</v>
      </c>
      <c r="EZ18" t="n">
        <v>15</v>
      </c>
      <c r="FA18" t="n">
        <v>1792300065</v>
      </c>
      <c r="FB18" t="inlineStr">
        <is>
          <t>14:07:45</t>
        </is>
      </c>
      <c r="FC18" t="n">
        <v>1792300064</v>
      </c>
      <c r="FD18" t="n">
        <v>1792300065</v>
      </c>
      <c r="FE18" t="n">
        <v>42</v>
      </c>
      <c r="FF18" t="n">
        <v>-0.198</v>
      </c>
      <c r="FG18" t="n">
        <v>0</v>
      </c>
      <c r="FH18" t="n">
        <v>0.5600000000000001</v>
      </c>
      <c r="FI18" t="n">
        <v>-0.17</v>
      </c>
      <c r="FJ18" t="n">
        <v>300</v>
      </c>
      <c r="FK18" t="n">
        <v>16</v>
      </c>
      <c r="FL18" t="n">
        <v>0.32</v>
      </c>
      <c r="FM18" t="n">
        <v>0.03</v>
      </c>
      <c r="FN18" t="n">
        <v>12.2792995410206</v>
      </c>
      <c r="FO18" t="n">
        <v>-0.0164572790582192</v>
      </c>
      <c r="FP18" t="n">
        <v>0.142293650978309</v>
      </c>
      <c r="FQ18" t="n">
        <v>1</v>
      </c>
      <c r="FR18" t="n">
        <v>-5.48449904761905</v>
      </c>
      <c r="FS18" t="n">
        <v>0.0492592207792071</v>
      </c>
      <c r="FT18" t="n">
        <v>0.0560584166319693</v>
      </c>
      <c r="FU18" t="n">
        <v>1</v>
      </c>
      <c r="FV18" t="n">
        <v>224.426676470588</v>
      </c>
      <c r="FW18" t="n">
        <v>0.334071815902052</v>
      </c>
      <c r="FX18" t="n">
        <v>0.19229415588505</v>
      </c>
      <c r="FY18" t="n">
        <v>1</v>
      </c>
      <c r="FZ18" t="n">
        <v>3</v>
      </c>
      <c r="GA18" t="n">
        <v>3</v>
      </c>
      <c r="GB18" t="inlineStr">
        <is>
          <t>3/3</t>
        </is>
      </c>
      <c r="GC18" t="n">
        <v>3.1232</v>
      </c>
      <c r="GD18" t="n">
        <v>2.76518</v>
      </c>
      <c r="GE18" t="n">
        <v>0.0687157</v>
      </c>
      <c r="GF18" t="n">
        <v>0.0715797</v>
      </c>
      <c r="GG18" t="n">
        <v>0.0928766</v>
      </c>
      <c r="GH18" t="n">
        <v>0.0885157</v>
      </c>
      <c r="GI18" t="n">
        <v>18134.1</v>
      </c>
      <c r="GJ18" t="n">
        <v>27267</v>
      </c>
      <c r="GK18" t="n">
        <v>22754.1</v>
      </c>
      <c r="GL18" t="n">
        <v>30094.9</v>
      </c>
      <c r="GM18" t="n">
        <v>33857.3</v>
      </c>
      <c r="GN18" t="n">
        <v>34177.4</v>
      </c>
      <c r="GO18" t="n">
        <v>43053.8</v>
      </c>
      <c r="GP18" t="n">
        <v>42868.8</v>
      </c>
      <c r="GQ18" t="n">
        <v>1.96983</v>
      </c>
      <c r="GR18" t="n">
        <v>1.80525</v>
      </c>
      <c r="GS18" t="n">
        <v>0.0758432</v>
      </c>
      <c r="GT18" t="n">
        <v>0</v>
      </c>
      <c r="GU18" t="n">
        <v>23.74</v>
      </c>
      <c r="GV18" t="n">
        <v>999.9</v>
      </c>
      <c r="GW18" t="n">
        <v>40.77</v>
      </c>
      <c r="GX18" t="n">
        <v>32.579</v>
      </c>
      <c r="GY18" t="n">
        <v>19.943</v>
      </c>
      <c r="GZ18" t="n">
        <v>63.2715</v>
      </c>
      <c r="HA18" t="n">
        <v>36.3582</v>
      </c>
      <c r="HB18" t="n">
        <v>1</v>
      </c>
      <c r="HC18" t="n">
        <v>0.0837271</v>
      </c>
      <c r="HD18" t="n">
        <v>2.167</v>
      </c>
      <c r="HE18" t="n">
        <v>20.2236</v>
      </c>
      <c r="HF18" t="n">
        <v>5.22972</v>
      </c>
      <c r="HG18" t="n">
        <v>11.962</v>
      </c>
      <c r="HH18" t="n">
        <v>4.96925</v>
      </c>
      <c r="HI18" t="n">
        <v>3.29505</v>
      </c>
      <c r="HJ18" t="n">
        <v>9999</v>
      </c>
      <c r="HK18" t="n">
        <v>9999</v>
      </c>
      <c r="HL18" t="n">
        <v>9999</v>
      </c>
      <c r="HM18" t="n">
        <v>999.9</v>
      </c>
      <c r="HN18" t="n">
        <v>4.96857</v>
      </c>
      <c r="HO18" t="n">
        <v>1.86249</v>
      </c>
      <c r="HP18" t="n">
        <v>1.864</v>
      </c>
      <c r="HQ18" t="n">
        <v>1.86585</v>
      </c>
      <c r="HR18" t="n">
        <v>1.86295</v>
      </c>
      <c r="HS18" t="n">
        <v>1.86661</v>
      </c>
      <c r="HT18" t="n">
        <v>1.8634</v>
      </c>
      <c r="HU18" t="n">
        <v>1.86532</v>
      </c>
      <c r="HV18" t="n">
        <v>0</v>
      </c>
      <c r="HW18" t="n">
        <v>0</v>
      </c>
      <c r="HX18" t="n">
        <v>0</v>
      </c>
      <c r="HY18" t="n">
        <v>0</v>
      </c>
      <c r="HZ18" t="inlineStr">
        <is>
          <t>11111111</t>
        </is>
      </c>
      <c r="IA18" t="inlineStr">
        <is>
          <t>oooooooo</t>
        </is>
      </c>
      <c r="IB18" t="inlineStr">
        <is>
          <t>on</t>
        </is>
      </c>
      <c r="IC18" t="inlineStr">
        <is>
          <t>on</t>
        </is>
      </c>
      <c r="ID18" t="inlineStr">
        <is>
          <t>on</t>
        </is>
      </c>
      <c r="IE18" t="inlineStr">
        <is>
          <t>on</t>
        </is>
      </c>
      <c r="IF18" t="n">
        <v>0</v>
      </c>
      <c r="IG18" t="n">
        <v>100</v>
      </c>
      <c r="IH18" t="n">
        <v>100</v>
      </c>
      <c r="II18" t="n">
        <v>0.5580000000000001</v>
      </c>
      <c r="IJ18" t="n">
        <v>-0.1024</v>
      </c>
      <c r="IK18" t="n">
        <v>0.471886372826419</v>
      </c>
      <c r="IL18" t="n">
        <v>0.000216929631606078</v>
      </c>
      <c r="IM18" t="n">
        <v>2.72263024731635e-07</v>
      </c>
      <c r="IN18" t="n">
        <v>-5.43792051235154e-11</v>
      </c>
      <c r="IO18" t="n">
        <v>-0.0150524569206377</v>
      </c>
      <c r="IP18" t="n">
        <v>-0.0584433849545669</v>
      </c>
      <c r="IQ18" t="n">
        <v>0.00341568706061026</v>
      </c>
      <c r="IR18" t="n">
        <v>-2.10952612506686e-05</v>
      </c>
      <c r="IS18" t="n">
        <v>0</v>
      </c>
      <c r="IT18" t="n">
        <v>1734</v>
      </c>
      <c r="IU18" t="n">
        <v>2</v>
      </c>
      <c r="IV18" t="n">
        <v>19</v>
      </c>
      <c r="IW18" t="n">
        <v>0.9</v>
      </c>
      <c r="IX18" t="n">
        <v>0.8</v>
      </c>
      <c r="IY18" t="n">
        <v>0.847168</v>
      </c>
      <c r="IZ18" t="n">
        <v>2.55981</v>
      </c>
      <c r="JA18" t="n">
        <v>1.34644</v>
      </c>
      <c r="JB18" t="n">
        <v>2.26196</v>
      </c>
      <c r="JC18" t="n">
        <v>1.55029</v>
      </c>
      <c r="JD18" t="n">
        <v>2.59888</v>
      </c>
      <c r="JE18" t="n">
        <v>36.4814</v>
      </c>
      <c r="JF18" t="n">
        <v>15.0689</v>
      </c>
      <c r="JG18" t="n">
        <v>18</v>
      </c>
      <c r="JH18" t="n">
        <v>501.385</v>
      </c>
      <c r="JI18" t="n">
        <v>472.638</v>
      </c>
      <c r="JJ18" t="n">
        <v>21.6038</v>
      </c>
      <c r="JK18" t="n">
        <v>28.3227</v>
      </c>
      <c r="JL18" t="n">
        <v>30.0001</v>
      </c>
      <c r="JM18" t="n">
        <v>28.3275</v>
      </c>
      <c r="JN18" t="n">
        <v>28.3426</v>
      </c>
      <c r="JO18" t="n">
        <v>16.9904</v>
      </c>
      <c r="JP18" t="n">
        <v>30.9868</v>
      </c>
      <c r="JQ18" t="n">
        <v>24.351</v>
      </c>
      <c r="JR18" t="n">
        <v>21.6093</v>
      </c>
      <c r="JS18" t="n">
        <v>300</v>
      </c>
      <c r="JT18" t="n">
        <v>15.5201</v>
      </c>
      <c r="JU18" t="n">
        <v>101.659</v>
      </c>
      <c r="JV18" t="n">
        <v>97.3398</v>
      </c>
    </row>
    <row r="19">
      <c r="A19" t="n">
        <v>3</v>
      </c>
      <c r="B19" t="n">
        <v>1792300237</v>
      </c>
      <c r="C19" t="n">
        <v>242</v>
      </c>
      <c r="D19" t="inlineStr">
        <is>
          <t>20261018 14:10:37</t>
        </is>
      </c>
      <c r="E19" t="inlineStr">
        <is>
          <t>14:10:37</t>
        </is>
      </c>
      <c r="F19" t="n">
        <v>5</v>
      </c>
      <c r="G19" t="n">
        <v>1792300234</v>
      </c>
      <c r="H19">
        <f>(I19)/1000</f>
        <v/>
      </c>
      <c r="I19">
        <f>1000*DI19*AG19*(DE19-DF19)/(100*CX19*(1000-AG19*DE19))</f>
        <v/>
      </c>
      <c r="J19">
        <f>DI19*AG19*(DD19-DC19*(1000-AG19*DF19)/(1000-AG19*DE19))/(100*CX19)</f>
        <v/>
      </c>
      <c r="K19">
        <f>DC19 - IF(AG19&gt;1, J19*CX19*100.0/(AI19), 0)</f>
        <v/>
      </c>
      <c r="L19">
        <f>((R19-H19/2)*K19-J19)/(R19+H19/2)</f>
        <v/>
      </c>
      <c r="M19">
        <f>L19*(DJ19+DK19)/1000.0</f>
        <v/>
      </c>
      <c r="N19">
        <f>(DC19 - IF(AG19&gt;1, J19*CX19*100.0/(AI19), 0))*(DJ19+DK19)/1000.0</f>
        <v/>
      </c>
      <c r="O19">
        <f>2.0/((1/Q19-1/P19)+SIGN(Q19)*SQRT((1/Q19-1/P19)*(1/Q19-1/P19) + 4*CY19/((CY19+1)*(CY19+1))*(2*1/Q19*1/P19-1/P19*1/P19)))</f>
        <v/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/>
      </c>
      <c r="Q19">
        <f>H19*(1000-(1000*0.61365*exp(17.502*U19/(240.97+U19))/(DJ19+DK19)+DE19)/2)/(1000*0.61365*exp(17.502*U19/(240.97+U19))/(DJ19+DK19)-DE19)</f>
        <v/>
      </c>
      <c r="R19">
        <f>1/((CY19+1)/(O19/1.6)+1/(P19/1.37)) + CY19/((CY19+1)/(O19/1.6) + CY19/(P19/1.37))</f>
        <v/>
      </c>
      <c r="S19">
        <f>(CT19*CW19)</f>
        <v/>
      </c>
      <c r="T19">
        <f>(DL19+(S19+2*0.95*5.67E-8*(((DL19+$B$7)+273)^4-(DL19+273)^4)-44100*H19)/(1.84*29.3*P19+8*0.95*5.67E-8*(DL19+273)^3))</f>
        <v/>
      </c>
      <c r="U19">
        <f>($C$7*DM19+$D$7*DN19+$E$7*T19)</f>
        <v/>
      </c>
      <c r="V19">
        <f>0.61365*exp(17.502*U19/(240.97+U19))</f>
        <v/>
      </c>
      <c r="W19">
        <f>(X19/Y19*100)</f>
        <v/>
      </c>
      <c r="X19">
        <f>DE19*(DJ19+DK19)/1000</f>
        <v/>
      </c>
      <c r="Y19">
        <f>0.61365*exp(17.502*DL19/(240.97+DL19))</f>
        <v/>
      </c>
      <c r="Z19">
        <f>(V19-DE19*(DJ19+DK19)/1000)</f>
        <v/>
      </c>
      <c r="AA19">
        <f>(-H19*44100)</f>
        <v/>
      </c>
      <c r="AB19">
        <f>2*29.3*P19*0.92*(DL19-U19)</f>
        <v/>
      </c>
      <c r="AC19">
        <f>2*0.95*5.67E-8*(((DL19+$B$7)+273)^4-(U19+273)^4)</f>
        <v/>
      </c>
      <c r="AD19">
        <f>S19+AC19+AA19+AB19</f>
        <v/>
      </c>
      <c r="AE19" t="n">
        <v>0</v>
      </c>
      <c r="AF19" t="n">
        <v>0</v>
      </c>
      <c r="AG19">
        <f>IF(AE19*$H$13&gt;=AI19,1.0,(AI19/(AI19-AE19*$H$13)))</f>
        <v/>
      </c>
      <c r="AH19">
        <f>(AG19-1)*100</f>
        <v/>
      </c>
      <c r="AI19">
        <f>MAX(0,($B$13+$C$13*DQ19)/(1+$D$13*DQ19)*DJ19/(DL19+273)*$E$13)</f>
        <v/>
      </c>
      <c r="AJ19" t="inlineStr">
        <is>
          <t>-</t>
        </is>
      </c>
      <c r="AK19" t="inlineStr">
        <is>
          <t>-</t>
        </is>
      </c>
      <c r="AL19" t="n">
        <v>0</v>
      </c>
      <c r="AM19" t="n">
        <v>0</v>
      </c>
      <c r="AN19">
        <f>1-AL19/AM19</f>
        <v/>
      </c>
      <c r="AO19" t="n">
        <v>0</v>
      </c>
      <c r="AP19" t="inlineStr">
        <is>
          <t>-</t>
        </is>
      </c>
      <c r="AQ19" t="inlineStr">
        <is>
          <t>-</t>
        </is>
      </c>
      <c r="AR19" t="n">
        <v>0</v>
      </c>
      <c r="AS19" t="n">
        <v>0</v>
      </c>
      <c r="AT19">
        <f>1-AR19/AS19</f>
        <v/>
      </c>
      <c r="AU19" t="n">
        <v>0.5</v>
      </c>
      <c r="AV19">
        <f>CU19</f>
        <v/>
      </c>
      <c r="AW19">
        <f>J19</f>
        <v/>
      </c>
      <c r="AX19">
        <f>AT19*AU19*AV19</f>
        <v/>
      </c>
      <c r="AY19">
        <f>(AW19-AO19)/AV19</f>
        <v/>
      </c>
      <c r="AZ19">
        <f>(AM19-AS19)/AS19</f>
        <v/>
      </c>
      <c r="BA19">
        <f>AL19/(AN19+AL19/AS19)</f>
        <v/>
      </c>
      <c r="BB19" t="inlineStr">
        <is>
          <t>-</t>
        </is>
      </c>
      <c r="BC19" t="n">
        <v>0</v>
      </c>
      <c r="BD19">
        <f>IF(BC19&lt;&gt;0, BC19, BA19)</f>
        <v/>
      </c>
      <c r="BE19">
        <f>1-BD19/AS19</f>
        <v/>
      </c>
      <c r="BF19">
        <f>(AS19-AR19)/(AS19-BD19)</f>
        <v/>
      </c>
      <c r="BG19">
        <f>(AM19-AS19)/(AM19-BD19)</f>
        <v/>
      </c>
      <c r="BH19">
        <f>(AS19-AR19)/(AS19-AL19)</f>
        <v/>
      </c>
      <c r="BI19">
        <f>(AM19-AS19)/(AM19-AL19)</f>
        <v/>
      </c>
      <c r="BJ19">
        <f>(BF19*BD19/AR19)</f>
        <v/>
      </c>
      <c r="BK19">
        <f>(1-BJ19)</f>
        <v/>
      </c>
      <c r="BL19" t="n">
        <v>1166</v>
      </c>
      <c r="BM19" t="n">
        <v>290</v>
      </c>
      <c r="BN19" t="n">
        <v>1275.63</v>
      </c>
      <c r="BO19" t="n">
        <v>145</v>
      </c>
      <c r="BP19" t="n">
        <v>8135.53</v>
      </c>
      <c r="BQ19" t="n">
        <v>1265.26</v>
      </c>
      <c r="BR19" t="n">
        <v>10.37</v>
      </c>
      <c r="BS19" t="n">
        <v>300</v>
      </c>
      <c r="BT19" t="n">
        <v>19.3</v>
      </c>
      <c r="BU19" t="n">
        <v>1332.45541265344</v>
      </c>
      <c r="BV19" t="n">
        <v>1.81080575079226</v>
      </c>
      <c r="BW19" t="n">
        <v>-54.6693079656955</v>
      </c>
      <c r="BX19" t="n">
        <v>1.31551974861254</v>
      </c>
      <c r="BY19" t="n">
        <v>0.984045586611453</v>
      </c>
      <c r="BZ19" t="n">
        <v>-0.00539105072302559</v>
      </c>
      <c r="CA19" t="n">
        <v>290</v>
      </c>
      <c r="CB19" t="n">
        <v>1248.3</v>
      </c>
      <c r="CC19" t="n">
        <v>615</v>
      </c>
      <c r="CD19" t="n">
        <v>8117.41</v>
      </c>
      <c r="CE19" t="n">
        <v>1265.11</v>
      </c>
      <c r="CF19" t="n">
        <v>-16.81</v>
      </c>
      <c r="CT19">
        <f>$B$11*DR19+$C$11*DS19+$F$11*ED19*(1-EG19)</f>
        <v/>
      </c>
      <c r="CU19">
        <f>CT19*CV19</f>
        <v/>
      </c>
      <c r="CV19">
        <f>($B$11*$D$9+$C$11*$D$9+$F$11*((EQ19+EI19)/MAX(EQ19+EI19+ER19, 0.1)*$I$9+ER19/MAX(EQ19+EI19+ER19, 0.1)*$J$9))/($B$11+$C$11+$F$11)</f>
        <v/>
      </c>
      <c r="CW19">
        <f>($B$11*$K$9+$C$11*$K$9+$F$11*((EQ19+EI19)/MAX(EQ19+EI19+ER19, 0.1)*$P$9+ER19/MAX(EQ19+EI19+ER19, 0.1)*$Q$9))/($B$11+$C$11+$F$11)</f>
        <v/>
      </c>
      <c r="CX19" t="n">
        <v>2</v>
      </c>
      <c r="CY19" t="n">
        <v>0.5</v>
      </c>
      <c r="CZ19" t="inlineStr">
        <is>
          <t>0: Broadleaf</t>
        </is>
      </c>
      <c r="DA19" t="n">
        <v>2</v>
      </c>
      <c r="DB19" t="n">
        <v>1792300234</v>
      </c>
      <c r="DC19" t="n">
        <v>196.5844</v>
      </c>
      <c r="DD19" t="n">
        <v>199.9778</v>
      </c>
      <c r="DE19" t="n">
        <v>17.47864</v>
      </c>
      <c r="DF19" t="n">
        <v>15.50416</v>
      </c>
      <c r="DG19" t="n">
        <v>196.1944</v>
      </c>
      <c r="DH19" t="n">
        <v>17.58266</v>
      </c>
      <c r="DI19" t="n">
        <v>499.9622</v>
      </c>
      <c r="DJ19" t="n">
        <v>100.868</v>
      </c>
      <c r="DK19" t="n">
        <v>0.0998414</v>
      </c>
      <c r="DL19" t="n">
        <v>25.13104</v>
      </c>
      <c r="DM19" t="n">
        <v>25.00012</v>
      </c>
      <c r="DN19" t="n">
        <v>999.9</v>
      </c>
      <c r="DO19" t="n">
        <v>0</v>
      </c>
      <c r="DP19" t="n">
        <v>0</v>
      </c>
      <c r="DQ19" t="n">
        <v>10000.364</v>
      </c>
      <c r="DR19" t="n">
        <v>0</v>
      </c>
      <c r="DS19" t="n">
        <v>6.00052</v>
      </c>
      <c r="DT19" t="n">
        <v>-3.39343</v>
      </c>
      <c r="DU19" t="n">
        <v>200.0814</v>
      </c>
      <c r="DV19" t="n">
        <v>203.127</v>
      </c>
      <c r="DW19" t="n">
        <v>1.974496</v>
      </c>
      <c r="DX19" t="n">
        <v>199.9778</v>
      </c>
      <c r="DY19" t="n">
        <v>15.50416</v>
      </c>
      <c r="DZ19" t="n">
        <v>1.76303</v>
      </c>
      <c r="EA19" t="n">
        <v>1.56387</v>
      </c>
      <c r="EB19" t="n">
        <v>15.4628</v>
      </c>
      <c r="EC19" t="n">
        <v>13.6073</v>
      </c>
      <c r="ED19" t="n">
        <v>1499.992</v>
      </c>
      <c r="EE19" t="n">
        <v>0.973003</v>
      </c>
      <c r="EF19" t="n">
        <v>0.0269968</v>
      </c>
      <c r="EG19" t="n">
        <v>0</v>
      </c>
      <c r="EH19" t="n">
        <v>215.5082</v>
      </c>
      <c r="EI19" t="n">
        <v>5.00064</v>
      </c>
      <c r="EJ19" t="n">
        <v>3481.494</v>
      </c>
      <c r="EK19" t="n">
        <v>15439.14</v>
      </c>
      <c r="EL19" t="n">
        <v>41.125</v>
      </c>
      <c r="EM19" t="n">
        <v>41.875</v>
      </c>
      <c r="EN19" t="n">
        <v>41.5</v>
      </c>
      <c r="EO19" t="n">
        <v>41.4874</v>
      </c>
      <c r="EP19" t="n">
        <v>42.625</v>
      </c>
      <c r="EQ19" t="n">
        <v>1454.632</v>
      </c>
      <c r="ER19" t="n">
        <v>40.36</v>
      </c>
      <c r="ES19" t="n">
        <v>0</v>
      </c>
      <c r="ET19" t="n">
        <v>2092.5</v>
      </c>
      <c r="EU19" t="n">
        <v>0</v>
      </c>
      <c r="EV19" t="n">
        <v>215.616346153846</v>
      </c>
      <c r="EW19" t="n">
        <v>-0.770769222327308</v>
      </c>
      <c r="EX19" t="n">
        <v>-3.43247863911886</v>
      </c>
      <c r="EY19" t="n">
        <v>3481.79846153846</v>
      </c>
      <c r="EZ19" t="n">
        <v>15</v>
      </c>
      <c r="FA19" t="n">
        <v>1792300178</v>
      </c>
      <c r="FB19" t="inlineStr">
        <is>
          <t>14:09:38</t>
        </is>
      </c>
      <c r="FC19" t="n">
        <v>1792300174</v>
      </c>
      <c r="FD19" t="n">
        <v>1792300178</v>
      </c>
      <c r="FE19" t="n">
        <v>43</v>
      </c>
      <c r="FF19" t="n">
        <v>-0.134</v>
      </c>
      <c r="FG19" t="n">
        <v>-0.003</v>
      </c>
      <c r="FH19" t="n">
        <v>0.391</v>
      </c>
      <c r="FI19" t="n">
        <v>-0.175</v>
      </c>
      <c r="FJ19" t="n">
        <v>200</v>
      </c>
      <c r="FK19" t="n">
        <v>16</v>
      </c>
      <c r="FL19" t="n">
        <v>0.27</v>
      </c>
      <c r="FM19" t="n">
        <v>0.03</v>
      </c>
      <c r="FN19" t="n">
        <v>7.53081333235059</v>
      </c>
      <c r="FO19" t="n">
        <v>0.307339971281126</v>
      </c>
      <c r="FP19" t="n">
        <v>0.104932495892565</v>
      </c>
      <c r="FQ19" t="n">
        <v>1</v>
      </c>
      <c r="FR19" t="n">
        <v>-3.404425</v>
      </c>
      <c r="FS19" t="n">
        <v>-0.169836992481199</v>
      </c>
      <c r="FT19" t="n">
        <v>0.041766253183641</v>
      </c>
      <c r="FU19" t="n">
        <v>1</v>
      </c>
      <c r="FV19" t="n">
        <v>215.647735294118</v>
      </c>
      <c r="FW19" t="n">
        <v>-0.7443697417237261</v>
      </c>
      <c r="FX19" t="n">
        <v>0.177566111768106</v>
      </c>
      <c r="FY19" t="n">
        <v>1</v>
      </c>
      <c r="FZ19" t="n">
        <v>3</v>
      </c>
      <c r="GA19" t="n">
        <v>3</v>
      </c>
      <c r="GB19" t="inlineStr">
        <is>
          <t>3/3</t>
        </is>
      </c>
      <c r="GC19" t="n">
        <v>3.12332</v>
      </c>
      <c r="GD19" t="n">
        <v>2.76528</v>
      </c>
      <c r="GE19" t="n">
        <v>0.0488715</v>
      </c>
      <c r="GF19" t="n">
        <v>0.0509392</v>
      </c>
      <c r="GG19" t="n">
        <v>0.0929567</v>
      </c>
      <c r="GH19" t="n">
        <v>0.0882144</v>
      </c>
      <c r="GI19" t="n">
        <v>18522.1</v>
      </c>
      <c r="GJ19" t="n">
        <v>27875.8</v>
      </c>
      <c r="GK19" t="n">
        <v>22755.7</v>
      </c>
      <c r="GL19" t="n">
        <v>30097.6</v>
      </c>
      <c r="GM19" t="n">
        <v>33855</v>
      </c>
      <c r="GN19" t="n">
        <v>34190.4</v>
      </c>
      <c r="GO19" t="n">
        <v>43056.5</v>
      </c>
      <c r="GP19" t="n">
        <v>42872.7</v>
      </c>
      <c r="GQ19" t="n">
        <v>1.97012</v>
      </c>
      <c r="GR19" t="n">
        <v>1.80578</v>
      </c>
      <c r="GS19" t="n">
        <v>0.0759512</v>
      </c>
      <c r="GT19" t="n">
        <v>0</v>
      </c>
      <c r="GU19" t="n">
        <v>23.7353</v>
      </c>
      <c r="GV19" t="n">
        <v>999.9</v>
      </c>
      <c r="GW19" t="n">
        <v>40.606</v>
      </c>
      <c r="GX19" t="n">
        <v>32.579</v>
      </c>
      <c r="GY19" t="n">
        <v>19.8617</v>
      </c>
      <c r="GZ19" t="n">
        <v>63.1115</v>
      </c>
      <c r="HA19" t="n">
        <v>35.9776</v>
      </c>
      <c r="HB19" t="n">
        <v>1</v>
      </c>
      <c r="HC19" t="n">
        <v>0.0811128</v>
      </c>
      <c r="HD19" t="n">
        <v>2.23014</v>
      </c>
      <c r="HE19" t="n">
        <v>20.223</v>
      </c>
      <c r="HF19" t="n">
        <v>5.23466</v>
      </c>
      <c r="HG19" t="n">
        <v>11.962</v>
      </c>
      <c r="HH19" t="n">
        <v>4.96835</v>
      </c>
      <c r="HI19" t="n">
        <v>3.295</v>
      </c>
      <c r="HJ19" t="n">
        <v>9999</v>
      </c>
      <c r="HK19" t="n">
        <v>9999</v>
      </c>
      <c r="HL19" t="n">
        <v>9999</v>
      </c>
      <c r="HM19" t="n">
        <v>999.9</v>
      </c>
      <c r="HN19" t="n">
        <v>4.96858</v>
      </c>
      <c r="HO19" t="n">
        <v>1.86242</v>
      </c>
      <c r="HP19" t="n">
        <v>1.86396</v>
      </c>
      <c r="HQ19" t="n">
        <v>1.86589</v>
      </c>
      <c r="HR19" t="n">
        <v>1.86295</v>
      </c>
      <c r="HS19" t="n">
        <v>1.86661</v>
      </c>
      <c r="HT19" t="n">
        <v>1.8634</v>
      </c>
      <c r="HU19" t="n">
        <v>1.8653</v>
      </c>
      <c r="HV19" t="n">
        <v>0</v>
      </c>
      <c r="HW19" t="n">
        <v>0</v>
      </c>
      <c r="HX19" t="n">
        <v>0</v>
      </c>
      <c r="HY19" t="n">
        <v>0</v>
      </c>
      <c r="HZ19" t="inlineStr">
        <is>
          <t>11111111</t>
        </is>
      </c>
      <c r="IA19" t="inlineStr">
        <is>
          <t>oooooooo</t>
        </is>
      </c>
      <c r="IB19" t="inlineStr">
        <is>
          <t>on</t>
        </is>
      </c>
      <c r="IC19" t="inlineStr">
        <is>
          <t>on</t>
        </is>
      </c>
      <c r="ID19" t="inlineStr">
        <is>
          <t>on</t>
        </is>
      </c>
      <c r="IE19" t="inlineStr">
        <is>
          <t>on</t>
        </is>
      </c>
      <c r="IF19" t="n">
        <v>0</v>
      </c>
      <c r="IG19" t="n">
        <v>100</v>
      </c>
      <c r="IH19" t="n">
        <v>100</v>
      </c>
      <c r="II19" t="n">
        <v>0.389</v>
      </c>
      <c r="IJ19" t="n">
        <v>-0.1043</v>
      </c>
      <c r="IK19" t="n">
        <v>0.337314096952365</v>
      </c>
      <c r="IL19" t="n">
        <v>0.000216929631606078</v>
      </c>
      <c r="IM19" t="n">
        <v>2.72263024731635e-07</v>
      </c>
      <c r="IN19" t="n">
        <v>-5.43792051235154e-11</v>
      </c>
      <c r="IO19" t="n">
        <v>-0.0177339848629115</v>
      </c>
      <c r="IP19" t="n">
        <v>-0.0584433849545669</v>
      </c>
      <c r="IQ19" t="n">
        <v>0.00341568706061026</v>
      </c>
      <c r="IR19" t="n">
        <v>-2.10952612506686e-05</v>
      </c>
      <c r="IS19" t="n">
        <v>0</v>
      </c>
      <c r="IT19" t="n">
        <v>1734</v>
      </c>
      <c r="IU19" t="n">
        <v>2</v>
      </c>
      <c r="IV19" t="n">
        <v>19</v>
      </c>
      <c r="IW19" t="n">
        <v>1.1</v>
      </c>
      <c r="IX19" t="n">
        <v>1</v>
      </c>
      <c r="IY19" t="n">
        <v>0.633545</v>
      </c>
      <c r="IZ19" t="n">
        <v>2.56714</v>
      </c>
      <c r="JA19" t="n">
        <v>1.34644</v>
      </c>
      <c r="JB19" t="n">
        <v>2.26074</v>
      </c>
      <c r="JC19" t="n">
        <v>1.55029</v>
      </c>
      <c r="JD19" t="n">
        <v>2.59888</v>
      </c>
      <c r="JE19" t="n">
        <v>36.4814</v>
      </c>
      <c r="JF19" t="n">
        <v>15.0426</v>
      </c>
      <c r="JG19" t="n">
        <v>18</v>
      </c>
      <c r="JH19" t="n">
        <v>501.312</v>
      </c>
      <c r="JI19" t="n">
        <v>472.747</v>
      </c>
      <c r="JJ19" t="n">
        <v>21.6552</v>
      </c>
      <c r="JK19" t="n">
        <v>28.289</v>
      </c>
      <c r="JL19" t="n">
        <v>29.9999</v>
      </c>
      <c r="JM19" t="n">
        <v>28.2974</v>
      </c>
      <c r="JN19" t="n">
        <v>28.3138</v>
      </c>
      <c r="JO19" t="n">
        <v>12.6971</v>
      </c>
      <c r="JP19" t="n">
        <v>30.6788</v>
      </c>
      <c r="JQ19" t="n">
        <v>23.6038</v>
      </c>
      <c r="JR19" t="n">
        <v>21.6514</v>
      </c>
      <c r="JS19" t="n">
        <v>200</v>
      </c>
      <c r="JT19" t="n">
        <v>15.4871</v>
      </c>
      <c r="JU19" t="n">
        <v>101.666</v>
      </c>
      <c r="JV19" t="n">
        <v>97.3485</v>
      </c>
    </row>
    <row r="20">
      <c r="A20" t="n">
        <v>4</v>
      </c>
      <c r="B20" t="n">
        <v>1792300358.1</v>
      </c>
      <c r="C20" t="n">
        <v>363.099999904633</v>
      </c>
      <c r="D20" t="inlineStr">
        <is>
          <t>20261018 14:12:38</t>
        </is>
      </c>
      <c r="E20" t="inlineStr">
        <is>
          <t>14:12:38</t>
        </is>
      </c>
      <c r="F20" t="n">
        <v>5</v>
      </c>
      <c r="G20" t="n">
        <v>1792300354.6</v>
      </c>
      <c r="H20">
        <f>(I20)/1000</f>
        <v/>
      </c>
      <c r="I20">
        <f>1000*DI20*AG20*(DE20-DF20)/(100*CX20*(1000-AG20*DE20))</f>
        <v/>
      </c>
      <c r="J20">
        <f>DI20*AG20*(DD20-DC20*(1000-AG20*DF20)/(1000-AG20*DE20))/(100*CX20)</f>
        <v/>
      </c>
      <c r="K20">
        <f>DC20 - IF(AG20&gt;1, J20*CX20*100.0/(AI20), 0)</f>
        <v/>
      </c>
      <c r="L20">
        <f>((R20-H20/2)*K20-J20)/(R20+H20/2)</f>
        <v/>
      </c>
      <c r="M20">
        <f>L20*(DJ20+DK20)/1000.0</f>
        <v/>
      </c>
      <c r="N20">
        <f>(DC20 - IF(AG20&gt;1, J20*CX20*100.0/(AI20), 0))*(DJ20+DK20)/1000.0</f>
        <v/>
      </c>
      <c r="O20">
        <f>2.0/((1/Q20-1/P20)+SIGN(Q20)*SQRT((1/Q20-1/P20)*(1/Q20-1/P20) + 4*CY20/((CY20+1)*(CY20+1))*(2*1/Q20*1/P20-1/P20*1/P20)))</f>
        <v/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/>
      </c>
      <c r="Q20">
        <f>H20*(1000-(1000*0.61365*exp(17.502*U20/(240.97+U20))/(DJ20+DK20)+DE20)/2)/(1000*0.61365*exp(17.502*U20/(240.97+U20))/(DJ20+DK20)-DE20)</f>
        <v/>
      </c>
      <c r="R20">
        <f>1/((CY20+1)/(O20/1.6)+1/(P20/1.37)) + CY20/((CY20+1)/(O20/1.6) + CY20/(P20/1.37))</f>
        <v/>
      </c>
      <c r="S20">
        <f>(CT20*CW20)</f>
        <v/>
      </c>
      <c r="T20">
        <f>(DL20+(S20+2*0.95*5.67E-8*(((DL20+$B$7)+273)^4-(DL20+273)^4)-44100*H20)/(1.84*29.3*P20+8*0.95*5.67E-8*(DL20+273)^3))</f>
        <v/>
      </c>
      <c r="U20">
        <f>($C$7*DM20+$D$7*DN20+$E$7*T20)</f>
        <v/>
      </c>
      <c r="V20">
        <f>0.61365*exp(17.502*U20/(240.97+U20))</f>
        <v/>
      </c>
      <c r="W20">
        <f>(X20/Y20*100)</f>
        <v/>
      </c>
      <c r="X20">
        <f>DE20*(DJ20+DK20)/1000</f>
        <v/>
      </c>
      <c r="Y20">
        <f>0.61365*exp(17.502*DL20/(240.97+DL20))</f>
        <v/>
      </c>
      <c r="Z20">
        <f>(V20-DE20*(DJ20+DK20)/1000)</f>
        <v/>
      </c>
      <c r="AA20">
        <f>(-H20*44100)</f>
        <v/>
      </c>
      <c r="AB20">
        <f>2*29.3*P20*0.92*(DL20-U20)</f>
        <v/>
      </c>
      <c r="AC20">
        <f>2*0.95*5.67E-8*(((DL20+$B$7)+273)^4-(U20+273)^4)</f>
        <v/>
      </c>
      <c r="AD20">
        <f>S20+AC20+AA20+AB20</f>
        <v/>
      </c>
      <c r="AE20" t="n">
        <v>0</v>
      </c>
      <c r="AF20" t="n">
        <v>0</v>
      </c>
      <c r="AG20">
        <f>IF(AE20*$H$13&gt;=AI20,1.0,(AI20/(AI20-AE20*$H$13)))</f>
        <v/>
      </c>
      <c r="AH20">
        <f>(AG20-1)*100</f>
        <v/>
      </c>
      <c r="AI20">
        <f>MAX(0,($B$13+$C$13*DQ20)/(1+$D$13*DQ20)*DJ20/(DL20+273)*$E$13)</f>
        <v/>
      </c>
      <c r="AJ20" t="inlineStr">
        <is>
          <t>-</t>
        </is>
      </c>
      <c r="AK20" t="inlineStr">
        <is>
          <t>-</t>
        </is>
      </c>
      <c r="AL20" t="n">
        <v>0</v>
      </c>
      <c r="AM20" t="n">
        <v>0</v>
      </c>
      <c r="AN20">
        <f>1-AL20/AM20</f>
        <v/>
      </c>
      <c r="AO20" t="n">
        <v>0</v>
      </c>
      <c r="AP20" t="inlineStr">
        <is>
          <t>-</t>
        </is>
      </c>
      <c r="AQ20" t="inlineStr">
        <is>
          <t>-</t>
        </is>
      </c>
      <c r="AR20" t="n">
        <v>0</v>
      </c>
      <c r="AS20" t="n">
        <v>0</v>
      </c>
      <c r="AT20">
        <f>1-AR20/AS20</f>
        <v/>
      </c>
      <c r="AU20" t="n">
        <v>0.5</v>
      </c>
      <c r="AV20">
        <f>CU20</f>
        <v/>
      </c>
      <c r="AW20">
        <f>J20</f>
        <v/>
      </c>
      <c r="AX20">
        <f>AT20*AU20*AV20</f>
        <v/>
      </c>
      <c r="AY20">
        <f>(AW20-AO20)/AV20</f>
        <v/>
      </c>
      <c r="AZ20">
        <f>(AM20-AS20)/AS20</f>
        <v/>
      </c>
      <c r="BA20">
        <f>AL20/(AN20+AL20/AS20)</f>
        <v/>
      </c>
      <c r="BB20" t="inlineStr">
        <is>
          <t>-</t>
        </is>
      </c>
      <c r="BC20" t="n">
        <v>0</v>
      </c>
      <c r="BD20">
        <f>IF(BC20&lt;&gt;0, BC20, BA20)</f>
        <v/>
      </c>
      <c r="BE20">
        <f>1-BD20/AS20</f>
        <v/>
      </c>
      <c r="BF20">
        <f>(AS20-AR20)/(AS20-BD20)</f>
        <v/>
      </c>
      <c r="BG20">
        <f>(AM20-AS20)/(AM20-BD20)</f>
        <v/>
      </c>
      <c r="BH20">
        <f>(AS20-AR20)/(AS20-AL20)</f>
        <v/>
      </c>
      <c r="BI20">
        <f>(AM20-AS20)/(AM20-AL20)</f>
        <v/>
      </c>
      <c r="BJ20">
        <f>(BF20*BD20/AR20)</f>
        <v/>
      </c>
      <c r="BK20">
        <f>(1-BJ20)</f>
        <v/>
      </c>
      <c r="BL20" t="n">
        <v>1166</v>
      </c>
      <c r="BM20" t="n">
        <v>290</v>
      </c>
      <c r="BN20" t="n">
        <v>1275.63</v>
      </c>
      <c r="BO20" t="n">
        <v>145</v>
      </c>
      <c r="BP20" t="n">
        <v>8135.53</v>
      </c>
      <c r="BQ20" t="n">
        <v>1265.26</v>
      </c>
      <c r="BR20" t="n">
        <v>10.37</v>
      </c>
      <c r="BS20" t="n">
        <v>300</v>
      </c>
      <c r="BT20" t="n">
        <v>19.3</v>
      </c>
      <c r="BU20" t="n">
        <v>1332.45541265344</v>
      </c>
      <c r="BV20" t="n">
        <v>1.81080575079226</v>
      </c>
      <c r="BW20" t="n">
        <v>-54.6693079656955</v>
      </c>
      <c r="BX20" t="n">
        <v>1.31551974861254</v>
      </c>
      <c r="BY20" t="n">
        <v>0.984045586611453</v>
      </c>
      <c r="BZ20" t="n">
        <v>-0.00539105072302559</v>
      </c>
      <c r="CA20" t="n">
        <v>290</v>
      </c>
      <c r="CB20" t="n">
        <v>1248.3</v>
      </c>
      <c r="CC20" t="n">
        <v>615</v>
      </c>
      <c r="CD20" t="n">
        <v>8117.41</v>
      </c>
      <c r="CE20" t="n">
        <v>1265.11</v>
      </c>
      <c r="CF20" t="n">
        <v>-16.81</v>
      </c>
      <c r="CT20">
        <f>$B$11*DR20+$C$11*DS20+$F$11*ED20*(1-EG20)</f>
        <v/>
      </c>
      <c r="CU20">
        <f>CT20*CV20</f>
        <v/>
      </c>
      <c r="CV20">
        <f>($B$11*$D$9+$C$11*$D$9+$F$11*((EQ20+EI20)/MAX(EQ20+EI20+ER20, 0.1)*$I$9+ER20/MAX(EQ20+EI20+ER20, 0.1)*$J$9))/($B$11+$C$11+$F$11)</f>
        <v/>
      </c>
      <c r="CW20">
        <f>($B$11*$K$9+$C$11*$K$9+$F$11*((EQ20+EI20)/MAX(EQ20+EI20+ER20, 0.1)*$P$9+ER20/MAX(EQ20+EI20+ER20, 0.1)*$Q$9))/($B$11+$C$11+$F$11)</f>
        <v/>
      </c>
      <c r="CX20" t="n">
        <v>2</v>
      </c>
      <c r="CY20" t="n">
        <v>0.5</v>
      </c>
      <c r="CZ20" t="inlineStr">
        <is>
          <t>0: Broadleaf</t>
        </is>
      </c>
      <c r="DA20" t="n">
        <v>2</v>
      </c>
      <c r="DB20" t="n">
        <v>1792300354.6</v>
      </c>
      <c r="DC20" t="n">
        <v>98.96016666666669</v>
      </c>
      <c r="DD20" t="n">
        <v>99.9938333333333</v>
      </c>
      <c r="DE20" t="n">
        <v>17.5559</v>
      </c>
      <c r="DF20" t="n">
        <v>15.4737333333333</v>
      </c>
      <c r="DG20" t="n">
        <v>98.8533833333333</v>
      </c>
      <c r="DH20" t="n">
        <v>17.6587833333333</v>
      </c>
      <c r="DI20" t="n">
        <v>500.190833333333</v>
      </c>
      <c r="DJ20" t="n">
        <v>100.861333333333</v>
      </c>
      <c r="DK20" t="n">
        <v>0.100147233333333</v>
      </c>
      <c r="DL20" t="n">
        <v>25.1526</v>
      </c>
      <c r="DM20" t="n">
        <v>24.9934333333333</v>
      </c>
      <c r="DN20" t="n">
        <v>999.9</v>
      </c>
      <c r="DO20" t="n">
        <v>0</v>
      </c>
      <c r="DP20" t="n">
        <v>0</v>
      </c>
      <c r="DQ20" t="n">
        <v>10003.3333333333</v>
      </c>
      <c r="DR20" t="n">
        <v>0</v>
      </c>
      <c r="DS20" t="n">
        <v>6.00161</v>
      </c>
      <c r="DT20" t="n">
        <v>-1.03365166666667</v>
      </c>
      <c r="DU20" t="n">
        <v>100.728333333333</v>
      </c>
      <c r="DV20" t="n">
        <v>101.565333333333</v>
      </c>
      <c r="DW20" t="n">
        <v>2.08219333333333</v>
      </c>
      <c r="DX20" t="n">
        <v>99.9938333333333</v>
      </c>
      <c r="DY20" t="n">
        <v>15.4737333333333</v>
      </c>
      <c r="DZ20" t="n">
        <v>1.77071666666667</v>
      </c>
      <c r="EA20" t="n">
        <v>1.56070333333333</v>
      </c>
      <c r="EB20" t="n">
        <v>15.5306333333333</v>
      </c>
      <c r="EC20" t="n">
        <v>13.5761833333333</v>
      </c>
      <c r="ED20" t="n">
        <v>1499.995</v>
      </c>
      <c r="EE20" t="n">
        <v>0.973003</v>
      </c>
      <c r="EF20" t="n">
        <v>0.0269968</v>
      </c>
      <c r="EG20" t="n">
        <v>0</v>
      </c>
      <c r="EH20" t="n">
        <v>214.231</v>
      </c>
      <c r="EI20" t="n">
        <v>5.00064</v>
      </c>
      <c r="EJ20" t="n">
        <v>3459.63833333333</v>
      </c>
      <c r="EK20" t="n">
        <v>15439.1666666667</v>
      </c>
      <c r="EL20" t="n">
        <v>41.1456666666667</v>
      </c>
      <c r="EM20" t="n">
        <v>41.8225</v>
      </c>
      <c r="EN20" t="n">
        <v>41.5</v>
      </c>
      <c r="EO20" t="n">
        <v>41.4895</v>
      </c>
      <c r="EP20" t="n">
        <v>42.625</v>
      </c>
      <c r="EQ20" t="n">
        <v>1454.635</v>
      </c>
      <c r="ER20" t="n">
        <v>40.36</v>
      </c>
      <c r="ES20" t="n">
        <v>0</v>
      </c>
      <c r="ET20" t="n">
        <v>2213.70000004768</v>
      </c>
      <c r="EU20" t="n">
        <v>0</v>
      </c>
      <c r="EV20" t="n">
        <v>214.313884615385</v>
      </c>
      <c r="EW20" t="n">
        <v>-0.5602393216067501</v>
      </c>
      <c r="EX20" t="n">
        <v>3.93230769864014</v>
      </c>
      <c r="EY20" t="n">
        <v>3459.35230769231</v>
      </c>
      <c r="EZ20" t="n">
        <v>15</v>
      </c>
      <c r="FA20" t="n">
        <v>1792300316.1</v>
      </c>
      <c r="FB20" t="inlineStr">
        <is>
          <t>14:11:56</t>
        </is>
      </c>
      <c r="FC20" t="n">
        <v>1792300316.1</v>
      </c>
      <c r="FD20" t="n">
        <v>1792300301.1</v>
      </c>
      <c r="FE20" t="n">
        <v>44</v>
      </c>
      <c r="FF20" t="n">
        <v>-0.255</v>
      </c>
      <c r="FG20" t="n">
        <v>-0.002</v>
      </c>
      <c r="FH20" t="n">
        <v>0.107</v>
      </c>
      <c r="FI20" t="n">
        <v>-0.179</v>
      </c>
      <c r="FJ20" t="n">
        <v>100</v>
      </c>
      <c r="FK20" t="n">
        <v>15</v>
      </c>
      <c r="FL20" t="n">
        <v>0.41</v>
      </c>
      <c r="FM20" t="n">
        <v>0.02</v>
      </c>
      <c r="FN20" t="n">
        <v>2.11847858130053</v>
      </c>
      <c r="FO20" t="n">
        <v>-0.241706532108653</v>
      </c>
      <c r="FP20" t="n">
        <v>0.107239057546796</v>
      </c>
      <c r="FQ20" t="n">
        <v>1</v>
      </c>
      <c r="FR20" t="n">
        <v>-1.0543665</v>
      </c>
      <c r="FS20" t="n">
        <v>0.14322</v>
      </c>
      <c r="FT20" t="n">
        <v>0.0434346114607924</v>
      </c>
      <c r="FU20" t="n">
        <v>1</v>
      </c>
      <c r="FV20" t="n">
        <v>214.337176470588</v>
      </c>
      <c r="FW20" t="n">
        <v>-0.423437743140478</v>
      </c>
      <c r="FX20" t="n">
        <v>0.170116131715652</v>
      </c>
      <c r="FY20" t="n">
        <v>1</v>
      </c>
      <c r="FZ20" t="n">
        <v>3</v>
      </c>
      <c r="GA20" t="n">
        <v>3</v>
      </c>
      <c r="GB20" t="inlineStr">
        <is>
          <t>3/3</t>
        </is>
      </c>
      <c r="GC20" t="n">
        <v>3.12345</v>
      </c>
      <c r="GD20" t="n">
        <v>2.76525</v>
      </c>
      <c r="GE20" t="n">
        <v>0.0261742</v>
      </c>
      <c r="GF20" t="n">
        <v>0.0271614</v>
      </c>
      <c r="GG20" t="n">
        <v>0.09323770000000001</v>
      </c>
      <c r="GH20" t="n">
        <v>0.0881007</v>
      </c>
      <c r="GI20" t="n">
        <v>18966.4</v>
      </c>
      <c r="GJ20" t="n">
        <v>28577</v>
      </c>
      <c r="GK20" t="n">
        <v>22758.3</v>
      </c>
      <c r="GL20" t="n">
        <v>30100.2</v>
      </c>
      <c r="GM20" t="n">
        <v>33845.8</v>
      </c>
      <c r="GN20" t="n">
        <v>34196.2</v>
      </c>
      <c r="GO20" t="n">
        <v>43060.3</v>
      </c>
      <c r="GP20" t="n">
        <v>42876.7</v>
      </c>
      <c r="GQ20" t="n">
        <v>1.97053</v>
      </c>
      <c r="GR20" t="n">
        <v>1.80558</v>
      </c>
      <c r="GS20" t="n">
        <v>0.07587670000000001</v>
      </c>
      <c r="GT20" t="n">
        <v>0</v>
      </c>
      <c r="GU20" t="n">
        <v>23.7533</v>
      </c>
      <c r="GV20" t="n">
        <v>999.9</v>
      </c>
      <c r="GW20" t="n">
        <v>40.514</v>
      </c>
      <c r="GX20" t="n">
        <v>32.579</v>
      </c>
      <c r="GY20" t="n">
        <v>19.8178</v>
      </c>
      <c r="GZ20" t="n">
        <v>63.3115</v>
      </c>
      <c r="HA20" t="n">
        <v>35.9255</v>
      </c>
      <c r="HB20" t="n">
        <v>1</v>
      </c>
      <c r="HC20" t="n">
        <v>0.0774492</v>
      </c>
      <c r="HD20" t="n">
        <v>2.10722</v>
      </c>
      <c r="HE20" t="n">
        <v>20.2244</v>
      </c>
      <c r="HF20" t="n">
        <v>5.23032</v>
      </c>
      <c r="HG20" t="n">
        <v>11.962</v>
      </c>
      <c r="HH20" t="n">
        <v>4.969</v>
      </c>
      <c r="HI20" t="n">
        <v>3.2951</v>
      </c>
      <c r="HJ20" t="n">
        <v>9999</v>
      </c>
      <c r="HK20" t="n">
        <v>9999</v>
      </c>
      <c r="HL20" t="n">
        <v>9999</v>
      </c>
      <c r="HM20" t="n">
        <v>999.9</v>
      </c>
      <c r="HN20" t="n">
        <v>4.96857</v>
      </c>
      <c r="HO20" t="n">
        <v>1.86248</v>
      </c>
      <c r="HP20" t="n">
        <v>1.86401</v>
      </c>
      <c r="HQ20" t="n">
        <v>1.86594</v>
      </c>
      <c r="HR20" t="n">
        <v>1.86295</v>
      </c>
      <c r="HS20" t="n">
        <v>1.86661</v>
      </c>
      <c r="HT20" t="n">
        <v>1.8634</v>
      </c>
      <c r="HU20" t="n">
        <v>1.86532</v>
      </c>
      <c r="HV20" t="n">
        <v>0</v>
      </c>
      <c r="HW20" t="n">
        <v>0</v>
      </c>
      <c r="HX20" t="n">
        <v>0</v>
      </c>
      <c r="HY20" t="n">
        <v>0</v>
      </c>
      <c r="HZ20" t="inlineStr">
        <is>
          <t>11111111</t>
        </is>
      </c>
      <c r="IA20" t="inlineStr">
        <is>
          <t>oooooooo</t>
        </is>
      </c>
      <c r="IB20" t="inlineStr">
        <is>
          <t>on</t>
        </is>
      </c>
      <c r="IC20" t="inlineStr">
        <is>
          <t>on</t>
        </is>
      </c>
      <c r="ID20" t="inlineStr">
        <is>
          <t>on</t>
        </is>
      </c>
      <c r="IE20" t="inlineStr">
        <is>
          <t>on</t>
        </is>
      </c>
      <c r="IF20" t="n">
        <v>0</v>
      </c>
      <c r="IG20" t="n">
        <v>100</v>
      </c>
      <c r="IH20" t="n">
        <v>100</v>
      </c>
      <c r="II20" t="n">
        <v>0.107</v>
      </c>
      <c r="IJ20" t="n">
        <v>-0.1033</v>
      </c>
      <c r="IK20" t="n">
        <v>0.08271406606782659</v>
      </c>
      <c r="IL20" t="n">
        <v>0.000216929631606078</v>
      </c>
      <c r="IM20" t="n">
        <v>2.72263024731635e-07</v>
      </c>
      <c r="IN20" t="n">
        <v>-5.43792051235154e-11</v>
      </c>
      <c r="IO20" t="n">
        <v>-0.0197827648979432</v>
      </c>
      <c r="IP20" t="n">
        <v>-0.0584433849545669</v>
      </c>
      <c r="IQ20" t="n">
        <v>0.00341568706061026</v>
      </c>
      <c r="IR20" t="n">
        <v>-2.10952612506686e-05</v>
      </c>
      <c r="IS20" t="n">
        <v>0</v>
      </c>
      <c r="IT20" t="n">
        <v>1734</v>
      </c>
      <c r="IU20" t="n">
        <v>2</v>
      </c>
      <c r="IV20" t="n">
        <v>19</v>
      </c>
      <c r="IW20" t="n">
        <v>0.7</v>
      </c>
      <c r="IX20" t="n">
        <v>0.9</v>
      </c>
      <c r="IY20" t="n">
        <v>0.412598</v>
      </c>
      <c r="IZ20" t="n">
        <v>2.58301</v>
      </c>
      <c r="JA20" t="n">
        <v>1.34644</v>
      </c>
      <c r="JB20" t="n">
        <v>2.26074</v>
      </c>
      <c r="JC20" t="n">
        <v>1.55029</v>
      </c>
      <c r="JD20" t="n">
        <v>2.54883</v>
      </c>
      <c r="JE20" t="n">
        <v>36.4578</v>
      </c>
      <c r="JF20" t="n">
        <v>15.0076</v>
      </c>
      <c r="JG20" t="n">
        <v>18</v>
      </c>
      <c r="JH20" t="n">
        <v>501.251</v>
      </c>
      <c r="JI20" t="n">
        <v>472.293</v>
      </c>
      <c r="JJ20" t="n">
        <v>21.7067</v>
      </c>
      <c r="JK20" t="n">
        <v>28.2528</v>
      </c>
      <c r="JL20" t="n">
        <v>29.9999</v>
      </c>
      <c r="JM20" t="n">
        <v>28.2615</v>
      </c>
      <c r="JN20" t="n">
        <v>28.2778</v>
      </c>
      <c r="JO20" t="n">
        <v>8.28276</v>
      </c>
      <c r="JP20" t="n">
        <v>30.5505</v>
      </c>
      <c r="JQ20" t="n">
        <v>22.9429</v>
      </c>
      <c r="JR20" t="n">
        <v>21.7135</v>
      </c>
      <c r="JS20" t="n">
        <v>100</v>
      </c>
      <c r="JT20" t="n">
        <v>15.4271</v>
      </c>
      <c r="JU20" t="n">
        <v>101.676</v>
      </c>
      <c r="JV20" t="n">
        <v>97.3573</v>
      </c>
    </row>
    <row r="21">
      <c r="A21" t="n">
        <v>5</v>
      </c>
      <c r="B21" t="n">
        <v>1792300479.1</v>
      </c>
      <c r="C21" t="n">
        <v>484.099999904633</v>
      </c>
      <c r="D21" t="inlineStr">
        <is>
          <t>20261018 14:14:39</t>
        </is>
      </c>
      <c r="E21" t="inlineStr">
        <is>
          <t>14:14:39</t>
        </is>
      </c>
      <c r="F21" t="n">
        <v>5</v>
      </c>
      <c r="G21" t="n">
        <v>1792300475.6</v>
      </c>
      <c r="H21">
        <f>(I21)/1000</f>
        <v/>
      </c>
      <c r="I21">
        <f>1000*DI21*AG21*(DE21-DF21)/(100*CX21*(1000-AG21*DE21))</f>
        <v/>
      </c>
      <c r="J21">
        <f>DI21*AG21*(DD21-DC21*(1000-AG21*DF21)/(1000-AG21*DE21))/(100*CX21)</f>
        <v/>
      </c>
      <c r="K21">
        <f>DC21 - IF(AG21&gt;1, J21*CX21*100.0/(AI21), 0)</f>
        <v/>
      </c>
      <c r="L21">
        <f>((R21-H21/2)*K21-J21)/(R21+H21/2)</f>
        <v/>
      </c>
      <c r="M21">
        <f>L21*(DJ21+DK21)/1000.0</f>
        <v/>
      </c>
      <c r="N21">
        <f>(DC21 - IF(AG21&gt;1, J21*CX21*100.0/(AI21), 0))*(DJ21+DK21)/1000.0</f>
        <v/>
      </c>
      <c r="O21">
        <f>2.0/((1/Q21-1/P21)+SIGN(Q21)*SQRT((1/Q21-1/P21)*(1/Q21-1/P21) + 4*CY21/((CY21+1)*(CY21+1))*(2*1/Q21*1/P21-1/P21*1/P21)))</f>
        <v/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/>
      </c>
      <c r="Q21">
        <f>H21*(1000-(1000*0.61365*exp(17.502*U21/(240.97+U21))/(DJ21+DK21)+DE21)/2)/(1000*0.61365*exp(17.502*U21/(240.97+U21))/(DJ21+DK21)-DE21)</f>
        <v/>
      </c>
      <c r="R21">
        <f>1/((CY21+1)/(O21/1.6)+1/(P21/1.37)) + CY21/((CY21+1)/(O21/1.6) + CY21/(P21/1.37))</f>
        <v/>
      </c>
      <c r="S21">
        <f>(CT21*CW21)</f>
        <v/>
      </c>
      <c r="T21">
        <f>(DL21+(S21+2*0.95*5.67E-8*(((DL21+$B$7)+273)^4-(DL21+273)^4)-44100*H21)/(1.84*29.3*P21+8*0.95*5.67E-8*(DL21+273)^3))</f>
        <v/>
      </c>
      <c r="U21">
        <f>($C$7*DM21+$D$7*DN21+$E$7*T21)</f>
        <v/>
      </c>
      <c r="V21">
        <f>0.61365*exp(17.502*U21/(240.97+U21))</f>
        <v/>
      </c>
      <c r="W21">
        <f>(X21/Y21*100)</f>
        <v/>
      </c>
      <c r="X21">
        <f>DE21*(DJ21+DK21)/1000</f>
        <v/>
      </c>
      <c r="Y21">
        <f>0.61365*exp(17.502*DL21/(240.97+DL21))</f>
        <v/>
      </c>
      <c r="Z21">
        <f>(V21-DE21*(DJ21+DK21)/1000)</f>
        <v/>
      </c>
      <c r="AA21">
        <f>(-H21*44100)</f>
        <v/>
      </c>
      <c r="AB21">
        <f>2*29.3*P21*0.92*(DL21-U21)</f>
        <v/>
      </c>
      <c r="AC21">
        <f>2*0.95*5.67E-8*(((DL21+$B$7)+273)^4-(U21+273)^4)</f>
        <v/>
      </c>
      <c r="AD21">
        <f>S21+AC21+AA21+AB21</f>
        <v/>
      </c>
      <c r="AE21" t="n">
        <v>0</v>
      </c>
      <c r="AF21" t="n">
        <v>0</v>
      </c>
      <c r="AG21">
        <f>IF(AE21*$H$13&gt;=AI21,1.0,(AI21/(AI21-AE21*$H$13)))</f>
        <v/>
      </c>
      <c r="AH21">
        <f>(AG21-1)*100</f>
        <v/>
      </c>
      <c r="AI21">
        <f>MAX(0,($B$13+$C$13*DQ21)/(1+$D$13*DQ21)*DJ21/(DL21+273)*$E$13)</f>
        <v/>
      </c>
      <c r="AJ21" t="inlineStr">
        <is>
          <t>-</t>
        </is>
      </c>
      <c r="AK21" t="inlineStr">
        <is>
          <t>-</t>
        </is>
      </c>
      <c r="AL21" t="n">
        <v>0</v>
      </c>
      <c r="AM21" t="n">
        <v>0</v>
      </c>
      <c r="AN21">
        <f>1-AL21/AM21</f>
        <v/>
      </c>
      <c r="AO21" t="n">
        <v>0</v>
      </c>
      <c r="AP21" t="inlineStr">
        <is>
          <t>-</t>
        </is>
      </c>
      <c r="AQ21" t="inlineStr">
        <is>
          <t>-</t>
        </is>
      </c>
      <c r="AR21" t="n">
        <v>0</v>
      </c>
      <c r="AS21" t="n">
        <v>0</v>
      </c>
      <c r="AT21">
        <f>1-AR21/AS21</f>
        <v/>
      </c>
      <c r="AU21" t="n">
        <v>0.5</v>
      </c>
      <c r="AV21">
        <f>CU21</f>
        <v/>
      </c>
      <c r="AW21">
        <f>J21</f>
        <v/>
      </c>
      <c r="AX21">
        <f>AT21*AU21*AV21</f>
        <v/>
      </c>
      <c r="AY21">
        <f>(AW21-AO21)/AV21</f>
        <v/>
      </c>
      <c r="AZ21">
        <f>(AM21-AS21)/AS21</f>
        <v/>
      </c>
      <c r="BA21">
        <f>AL21/(AN21+AL21/AS21)</f>
        <v/>
      </c>
      <c r="BB21" t="inlineStr">
        <is>
          <t>-</t>
        </is>
      </c>
      <c r="BC21" t="n">
        <v>0</v>
      </c>
      <c r="BD21">
        <f>IF(BC21&lt;&gt;0, BC21, BA21)</f>
        <v/>
      </c>
      <c r="BE21">
        <f>1-BD21/AS21</f>
        <v/>
      </c>
      <c r="BF21">
        <f>(AS21-AR21)/(AS21-BD21)</f>
        <v/>
      </c>
      <c r="BG21">
        <f>(AM21-AS21)/(AM21-BD21)</f>
        <v/>
      </c>
      <c r="BH21">
        <f>(AS21-AR21)/(AS21-AL21)</f>
        <v/>
      </c>
      <c r="BI21">
        <f>(AM21-AS21)/(AM21-AL21)</f>
        <v/>
      </c>
      <c r="BJ21">
        <f>(BF21*BD21/AR21)</f>
        <v/>
      </c>
      <c r="BK21">
        <f>(1-BJ21)</f>
        <v/>
      </c>
      <c r="BL21" t="n">
        <v>1166</v>
      </c>
      <c r="BM21" t="n">
        <v>290</v>
      </c>
      <c r="BN21" t="n">
        <v>1275.63</v>
      </c>
      <c r="BO21" t="n">
        <v>145</v>
      </c>
      <c r="BP21" t="n">
        <v>8135.53</v>
      </c>
      <c r="BQ21" t="n">
        <v>1265.26</v>
      </c>
      <c r="BR21" t="n">
        <v>10.37</v>
      </c>
      <c r="BS21" t="n">
        <v>300</v>
      </c>
      <c r="BT21" t="n">
        <v>19.3</v>
      </c>
      <c r="BU21" t="n">
        <v>1332.45541265344</v>
      </c>
      <c r="BV21" t="n">
        <v>1.81080575079226</v>
      </c>
      <c r="BW21" t="n">
        <v>-54.6693079656955</v>
      </c>
      <c r="BX21" t="n">
        <v>1.31551974861254</v>
      </c>
      <c r="BY21" t="n">
        <v>0.984045586611453</v>
      </c>
      <c r="BZ21" t="n">
        <v>-0.00539105072302559</v>
      </c>
      <c r="CA21" t="n">
        <v>290</v>
      </c>
      <c r="CB21" t="n">
        <v>1248.3</v>
      </c>
      <c r="CC21" t="n">
        <v>615</v>
      </c>
      <c r="CD21" t="n">
        <v>8117.41</v>
      </c>
      <c r="CE21" t="n">
        <v>1265.11</v>
      </c>
      <c r="CF21" t="n">
        <v>-16.81</v>
      </c>
      <c r="CT21">
        <f>$B$11*DR21+$C$11*DS21+$F$11*ED21*(1-EG21)</f>
        <v/>
      </c>
      <c r="CU21">
        <f>CT21*CV21</f>
        <v/>
      </c>
      <c r="CV21">
        <f>($B$11*$D$9+$C$11*$D$9+$F$11*((EQ21+EI21)/MAX(EQ21+EI21+ER21, 0.1)*$I$9+ER21/MAX(EQ21+EI21+ER21, 0.1)*$J$9))/($B$11+$C$11+$F$11)</f>
        <v/>
      </c>
      <c r="CW21">
        <f>($B$11*$K$9+$C$11*$K$9+$F$11*((EQ21+EI21)/MAX(EQ21+EI21+ER21, 0.1)*$P$9+ER21/MAX(EQ21+EI21+ER21, 0.1)*$Q$9))/($B$11+$C$11+$F$11)</f>
        <v/>
      </c>
      <c r="CX21" t="n">
        <v>2</v>
      </c>
      <c r="CY21" t="n">
        <v>0.5</v>
      </c>
      <c r="CZ21" t="inlineStr">
        <is>
          <t>0: Broadleaf</t>
        </is>
      </c>
      <c r="DA21" t="n">
        <v>2</v>
      </c>
      <c r="DB21" t="n">
        <v>1792300475.6</v>
      </c>
      <c r="DC21" t="n">
        <v>50.1283666666667</v>
      </c>
      <c r="DD21" t="n">
        <v>50.0018</v>
      </c>
      <c r="DE21" t="n">
        <v>17.51575</v>
      </c>
      <c r="DF21" t="n">
        <v>15.36205</v>
      </c>
      <c r="DG21" t="n">
        <v>50.0857666666667</v>
      </c>
      <c r="DH21" t="n">
        <v>17.6199333333333</v>
      </c>
      <c r="DI21" t="n">
        <v>500.086666666667</v>
      </c>
      <c r="DJ21" t="n">
        <v>100.8605</v>
      </c>
      <c r="DK21" t="n">
        <v>0.0999867333333333</v>
      </c>
      <c r="DL21" t="n">
        <v>25.17255</v>
      </c>
      <c r="DM21" t="n">
        <v>24.9861</v>
      </c>
      <c r="DN21" t="n">
        <v>999.9</v>
      </c>
      <c r="DO21" t="n">
        <v>0</v>
      </c>
      <c r="DP21" t="n">
        <v>0</v>
      </c>
      <c r="DQ21" t="n">
        <v>10004.8833333333</v>
      </c>
      <c r="DR21" t="n">
        <v>0</v>
      </c>
      <c r="DS21" t="n">
        <v>5.96023666666667</v>
      </c>
      <c r="DT21" t="n">
        <v>0.126549266666667</v>
      </c>
      <c r="DU21" t="n">
        <v>51.02205</v>
      </c>
      <c r="DV21" t="n">
        <v>50.7819166666667</v>
      </c>
      <c r="DW21" t="n">
        <v>2.15369333333333</v>
      </c>
      <c r="DX21" t="n">
        <v>50.0018</v>
      </c>
      <c r="DY21" t="n">
        <v>15.36205</v>
      </c>
      <c r="DZ21" t="n">
        <v>1.766645</v>
      </c>
      <c r="EA21" t="n">
        <v>1.54942166666667</v>
      </c>
      <c r="EB21" t="n">
        <v>15.4947333333333</v>
      </c>
      <c r="EC21" t="n">
        <v>13.4648166666667</v>
      </c>
      <c r="ED21" t="n">
        <v>1500.02</v>
      </c>
      <c r="EE21" t="n">
        <v>0.973003</v>
      </c>
      <c r="EF21" t="n">
        <v>0.0269968</v>
      </c>
      <c r="EG21" t="n">
        <v>0</v>
      </c>
      <c r="EH21" t="n">
        <v>215.571</v>
      </c>
      <c r="EI21" t="n">
        <v>5.00064</v>
      </c>
      <c r="EJ21" t="n">
        <v>3479.785</v>
      </c>
      <c r="EK21" t="n">
        <v>15439.4666666667</v>
      </c>
      <c r="EL21" t="n">
        <v>41.1766666666667</v>
      </c>
      <c r="EM21" t="n">
        <v>41.8645</v>
      </c>
      <c r="EN21" t="n">
        <v>41.5</v>
      </c>
      <c r="EO21" t="n">
        <v>41.4895</v>
      </c>
      <c r="EP21" t="n">
        <v>42.6353333333333</v>
      </c>
      <c r="EQ21" t="n">
        <v>1454.66</v>
      </c>
      <c r="ER21" t="n">
        <v>40.36</v>
      </c>
      <c r="ES21" t="n">
        <v>0</v>
      </c>
      <c r="ET21" t="n">
        <v>2334.90000009537</v>
      </c>
      <c r="EU21" t="n">
        <v>0</v>
      </c>
      <c r="EV21" t="n">
        <v>215.657884615385</v>
      </c>
      <c r="EW21" t="n">
        <v>-0.119487191918821</v>
      </c>
      <c r="EX21" t="n">
        <v>-0.911794843279651</v>
      </c>
      <c r="EY21" t="n">
        <v>3479.71423076923</v>
      </c>
      <c r="EZ21" t="n">
        <v>15</v>
      </c>
      <c r="FA21" t="n">
        <v>1792300423.1</v>
      </c>
      <c r="FB21" t="inlineStr">
        <is>
          <t>14:13:43</t>
        </is>
      </c>
      <c r="FC21" t="n">
        <v>1792300423.1</v>
      </c>
      <c r="FD21" t="n">
        <v>1792300423.1</v>
      </c>
      <c r="FE21" t="n">
        <v>45</v>
      </c>
      <c r="FF21" t="n">
        <v>-0.052</v>
      </c>
      <c r="FG21" t="n">
        <v>0</v>
      </c>
      <c r="FH21" t="n">
        <v>0.043</v>
      </c>
      <c r="FI21" t="n">
        <v>-0.18</v>
      </c>
      <c r="FJ21" t="n">
        <v>50</v>
      </c>
      <c r="FK21" t="n">
        <v>15</v>
      </c>
      <c r="FL21" t="n">
        <v>0.52</v>
      </c>
      <c r="FM21" t="n">
        <v>0.03</v>
      </c>
      <c r="FN21" t="n">
        <v>-0.609866646632774</v>
      </c>
      <c r="FO21" t="n">
        <v>0.0371492927726165</v>
      </c>
      <c r="FP21" t="n">
        <v>0.050177476715115</v>
      </c>
      <c r="FQ21" t="n">
        <v>1</v>
      </c>
      <c r="FR21" t="n">
        <v>0.13468488</v>
      </c>
      <c r="FS21" t="n">
        <v>0.000704264661654451</v>
      </c>
      <c r="FT21" t="n">
        <v>0.0209783822375702</v>
      </c>
      <c r="FU21" t="n">
        <v>1</v>
      </c>
      <c r="FV21" t="n">
        <v>215.663441176471</v>
      </c>
      <c r="FW21" t="n">
        <v>-0.141038968008073</v>
      </c>
      <c r="FX21" t="n">
        <v>0.169220912206582</v>
      </c>
      <c r="FY21" t="n">
        <v>1</v>
      </c>
      <c r="FZ21" t="n">
        <v>3</v>
      </c>
      <c r="GA21" t="n">
        <v>3</v>
      </c>
      <c r="GB21" t="inlineStr">
        <is>
          <t>3/3</t>
        </is>
      </c>
      <c r="GC21" t="n">
        <v>3.12329</v>
      </c>
      <c r="GD21" t="n">
        <v>2.76531</v>
      </c>
      <c r="GE21" t="n">
        <v>0.0136093</v>
      </c>
      <c r="GF21" t="n">
        <v>0.013969</v>
      </c>
      <c r="GG21" t="n">
        <v>0.0931019</v>
      </c>
      <c r="GH21" t="n">
        <v>0.087686</v>
      </c>
      <c r="GI21" t="n">
        <v>19212.8</v>
      </c>
      <c r="GJ21" t="n">
        <v>28967.5</v>
      </c>
      <c r="GK21" t="n">
        <v>22760</v>
      </c>
      <c r="GL21" t="n">
        <v>30102.9</v>
      </c>
      <c r="GM21" t="n">
        <v>33852.7</v>
      </c>
      <c r="GN21" t="n">
        <v>34213.7</v>
      </c>
      <c r="GO21" t="n">
        <v>43063.6</v>
      </c>
      <c r="GP21" t="n">
        <v>42880.3</v>
      </c>
      <c r="GQ21" t="n">
        <v>1.97148</v>
      </c>
      <c r="GR21" t="n">
        <v>1.80585</v>
      </c>
      <c r="GS21" t="n">
        <v>0.0736788</v>
      </c>
      <c r="GT21" t="n">
        <v>0</v>
      </c>
      <c r="GU21" t="n">
        <v>23.7701</v>
      </c>
      <c r="GV21" t="n">
        <v>999.9</v>
      </c>
      <c r="GW21" t="n">
        <v>40.441</v>
      </c>
      <c r="GX21" t="n">
        <v>32.579</v>
      </c>
      <c r="GY21" t="n">
        <v>19.7829</v>
      </c>
      <c r="GZ21" t="n">
        <v>63.2115</v>
      </c>
      <c r="HA21" t="n">
        <v>36.4343</v>
      </c>
      <c r="HB21" t="n">
        <v>1</v>
      </c>
      <c r="HC21" t="n">
        <v>0.07412349999999999</v>
      </c>
      <c r="HD21" t="n">
        <v>2.15102</v>
      </c>
      <c r="HE21" t="n">
        <v>20.2237</v>
      </c>
      <c r="HF21" t="n">
        <v>5.23421</v>
      </c>
      <c r="HG21" t="n">
        <v>11.962</v>
      </c>
      <c r="HH21" t="n">
        <v>4.96855</v>
      </c>
      <c r="HI21" t="n">
        <v>3.295</v>
      </c>
      <c r="HJ21" t="n">
        <v>9999</v>
      </c>
      <c r="HK21" t="n">
        <v>9999</v>
      </c>
      <c r="HL21" t="n">
        <v>9999</v>
      </c>
      <c r="HM21" t="n">
        <v>999.9</v>
      </c>
      <c r="HN21" t="n">
        <v>4.9686</v>
      </c>
      <c r="HO21" t="n">
        <v>1.86247</v>
      </c>
      <c r="HP21" t="n">
        <v>1.86401</v>
      </c>
      <c r="HQ21" t="n">
        <v>1.86589</v>
      </c>
      <c r="HR21" t="n">
        <v>1.86295</v>
      </c>
      <c r="HS21" t="n">
        <v>1.86661</v>
      </c>
      <c r="HT21" t="n">
        <v>1.8634</v>
      </c>
      <c r="HU21" t="n">
        <v>1.8653</v>
      </c>
      <c r="HV21" t="n">
        <v>0</v>
      </c>
      <c r="HW21" t="n">
        <v>0</v>
      </c>
      <c r="HX21" t="n">
        <v>0</v>
      </c>
      <c r="HY21" t="n">
        <v>0</v>
      </c>
      <c r="HZ21" t="inlineStr">
        <is>
          <t>11111111</t>
        </is>
      </c>
      <c r="IA21" t="inlineStr">
        <is>
          <t>oooooooo</t>
        </is>
      </c>
      <c r="IB21" t="inlineStr">
        <is>
          <t>on</t>
        </is>
      </c>
      <c r="IC21" t="inlineStr">
        <is>
          <t>on</t>
        </is>
      </c>
      <c r="ID21" t="inlineStr">
        <is>
          <t>on</t>
        </is>
      </c>
      <c r="IE21" t="inlineStr">
        <is>
          <t>on</t>
        </is>
      </c>
      <c r="IF21" t="n">
        <v>0</v>
      </c>
      <c r="IG21" t="n">
        <v>100</v>
      </c>
      <c r="IH21" t="n">
        <v>100</v>
      </c>
      <c r="II21" t="n">
        <v>0.043</v>
      </c>
      <c r="IJ21" t="n">
        <v>-0.1045</v>
      </c>
      <c r="IK21" t="n">
        <v>0.0310592744979863</v>
      </c>
      <c r="IL21" t="n">
        <v>0.000216929631606078</v>
      </c>
      <c r="IM21" t="n">
        <v>2.72263024731635e-07</v>
      </c>
      <c r="IN21" t="n">
        <v>-5.43792051235154e-11</v>
      </c>
      <c r="IO21" t="n">
        <v>-0.0194873393511646</v>
      </c>
      <c r="IP21" t="n">
        <v>-0.0584433849545669</v>
      </c>
      <c r="IQ21" t="n">
        <v>0.00341568706061026</v>
      </c>
      <c r="IR21" t="n">
        <v>-2.10952612506686e-05</v>
      </c>
      <c r="IS21" t="n">
        <v>0</v>
      </c>
      <c r="IT21" t="n">
        <v>1734</v>
      </c>
      <c r="IU21" t="n">
        <v>2</v>
      </c>
      <c r="IV21" t="n">
        <v>19</v>
      </c>
      <c r="IW21" t="n">
        <v>0.9</v>
      </c>
      <c r="IX21" t="n">
        <v>0.9</v>
      </c>
      <c r="IY21" t="n">
        <v>0.301514</v>
      </c>
      <c r="IZ21" t="n">
        <v>2.59033</v>
      </c>
      <c r="JA21" t="n">
        <v>1.34644</v>
      </c>
      <c r="JB21" t="n">
        <v>2.26196</v>
      </c>
      <c r="JC21" t="n">
        <v>1.55029</v>
      </c>
      <c r="JD21" t="n">
        <v>2.70752</v>
      </c>
      <c r="JE21" t="n">
        <v>36.4343</v>
      </c>
      <c r="JF21" t="n">
        <v>14.9901</v>
      </c>
      <c r="JG21" t="n">
        <v>18</v>
      </c>
      <c r="JH21" t="n">
        <v>501.477</v>
      </c>
      <c r="JI21" t="n">
        <v>472.118</v>
      </c>
      <c r="JJ21" t="n">
        <v>21.747</v>
      </c>
      <c r="JK21" t="n">
        <v>28.209</v>
      </c>
      <c r="JL21" t="n">
        <v>30.0002</v>
      </c>
      <c r="JM21" t="n">
        <v>28.2189</v>
      </c>
      <c r="JN21" t="n">
        <v>28.2362</v>
      </c>
      <c r="JO21" t="n">
        <v>6.04397</v>
      </c>
      <c r="JP21" t="n">
        <v>30.8528</v>
      </c>
      <c r="JQ21" t="n">
        <v>22.2746</v>
      </c>
      <c r="JR21" t="n">
        <v>21.7445</v>
      </c>
      <c r="JS21" t="n">
        <v>50</v>
      </c>
      <c r="JT21" t="n">
        <v>15.392</v>
      </c>
      <c r="JU21" t="n">
        <v>101.684</v>
      </c>
      <c r="JV21" t="n">
        <v>97.36579999999999</v>
      </c>
    </row>
    <row r="22">
      <c r="A22" t="n">
        <v>6</v>
      </c>
      <c r="B22" t="n">
        <v>1792300630.1</v>
      </c>
      <c r="C22" t="n">
        <v>635.099999904633</v>
      </c>
      <c r="D22" t="inlineStr">
        <is>
          <t>20261018 14:17:10</t>
        </is>
      </c>
      <c r="E22" t="inlineStr">
        <is>
          <t>14:17:10</t>
        </is>
      </c>
      <c r="F22" t="n">
        <v>5</v>
      </c>
      <c r="G22" t="n">
        <v>1792300627.1</v>
      </c>
      <c r="H22">
        <f>(I22)/1000</f>
        <v/>
      </c>
      <c r="I22">
        <f>1000*DI22*AG22*(DE22-DF22)/(100*CX22*(1000-AG22*DE22))</f>
        <v/>
      </c>
      <c r="J22">
        <f>DI22*AG22*(DD22-DC22*(1000-AG22*DF22)/(1000-AG22*DE22))/(100*CX22)</f>
        <v/>
      </c>
      <c r="K22">
        <f>DC22 - IF(AG22&gt;1, J22*CX22*100.0/(AI22), 0)</f>
        <v/>
      </c>
      <c r="L22">
        <f>((R22-H22/2)*K22-J22)/(R22+H22/2)</f>
        <v/>
      </c>
      <c r="M22">
        <f>L22*(DJ22+DK22)/1000.0</f>
        <v/>
      </c>
      <c r="N22">
        <f>(DC22 - IF(AG22&gt;1, J22*CX22*100.0/(AI22), 0))*(DJ22+DK22)/1000.0</f>
        <v/>
      </c>
      <c r="O22">
        <f>2.0/((1/Q22-1/P22)+SIGN(Q22)*SQRT((1/Q22-1/P22)*(1/Q22-1/P22) + 4*CY22/((CY22+1)*(CY22+1))*(2*1/Q22*1/P22-1/P22*1/P22)))</f>
        <v/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/>
      </c>
      <c r="Q22">
        <f>H22*(1000-(1000*0.61365*exp(17.502*U22/(240.97+U22))/(DJ22+DK22)+DE22)/2)/(1000*0.61365*exp(17.502*U22/(240.97+U22))/(DJ22+DK22)-DE22)</f>
        <v/>
      </c>
      <c r="R22">
        <f>1/((CY22+1)/(O22/1.6)+1/(P22/1.37)) + CY22/((CY22+1)/(O22/1.6) + CY22/(P22/1.37))</f>
        <v/>
      </c>
      <c r="S22">
        <f>(CT22*CW22)</f>
        <v/>
      </c>
      <c r="T22">
        <f>(DL22+(S22+2*0.95*5.67E-8*(((DL22+$B$7)+273)^4-(DL22+273)^4)-44100*H22)/(1.84*29.3*P22+8*0.95*5.67E-8*(DL22+273)^3))</f>
        <v/>
      </c>
      <c r="U22">
        <f>($C$7*DM22+$D$7*DN22+$E$7*T22)</f>
        <v/>
      </c>
      <c r="V22">
        <f>0.61365*exp(17.502*U22/(240.97+U22))</f>
        <v/>
      </c>
      <c r="W22">
        <f>(X22/Y22*100)</f>
        <v/>
      </c>
      <c r="X22">
        <f>DE22*(DJ22+DK22)/1000</f>
        <v/>
      </c>
      <c r="Y22">
        <f>0.61365*exp(17.502*DL22/(240.97+DL22))</f>
        <v/>
      </c>
      <c r="Z22">
        <f>(V22-DE22*(DJ22+DK22)/1000)</f>
        <v/>
      </c>
      <c r="AA22">
        <f>(-H22*44100)</f>
        <v/>
      </c>
      <c r="AB22">
        <f>2*29.3*P22*0.92*(DL22-U22)</f>
        <v/>
      </c>
      <c r="AC22">
        <f>2*0.95*5.67E-8*(((DL22+$B$7)+273)^4-(U22+273)^4)</f>
        <v/>
      </c>
      <c r="AD22">
        <f>S22+AC22+AA22+AB22</f>
        <v/>
      </c>
      <c r="AE22" t="n">
        <v>0</v>
      </c>
      <c r="AF22" t="n">
        <v>0</v>
      </c>
      <c r="AG22">
        <f>IF(AE22*$H$13&gt;=AI22,1.0,(AI22/(AI22-AE22*$H$13)))</f>
        <v/>
      </c>
      <c r="AH22">
        <f>(AG22-1)*100</f>
        <v/>
      </c>
      <c r="AI22">
        <f>MAX(0,($B$13+$C$13*DQ22)/(1+$D$13*DQ22)*DJ22/(DL22+273)*$E$13)</f>
        <v/>
      </c>
      <c r="AJ22" t="inlineStr">
        <is>
          <t>-</t>
        </is>
      </c>
      <c r="AK22" t="inlineStr">
        <is>
          <t>-</t>
        </is>
      </c>
      <c r="AL22" t="n">
        <v>0</v>
      </c>
      <c r="AM22" t="n">
        <v>0</v>
      </c>
      <c r="AN22">
        <f>1-AL22/AM22</f>
        <v/>
      </c>
      <c r="AO22" t="n">
        <v>0</v>
      </c>
      <c r="AP22" t="inlineStr">
        <is>
          <t>-</t>
        </is>
      </c>
      <c r="AQ22" t="inlineStr">
        <is>
          <t>-</t>
        </is>
      </c>
      <c r="AR22" t="n">
        <v>0</v>
      </c>
      <c r="AS22" t="n">
        <v>0</v>
      </c>
      <c r="AT22">
        <f>1-AR22/AS22</f>
        <v/>
      </c>
      <c r="AU22" t="n">
        <v>0.5</v>
      </c>
      <c r="AV22">
        <f>CU22</f>
        <v/>
      </c>
      <c r="AW22">
        <f>J22</f>
        <v/>
      </c>
      <c r="AX22">
        <f>AT22*AU22*AV22</f>
        <v/>
      </c>
      <c r="AY22">
        <f>(AW22-AO22)/AV22</f>
        <v/>
      </c>
      <c r="AZ22">
        <f>(AM22-AS22)/AS22</f>
        <v/>
      </c>
      <c r="BA22">
        <f>AL22/(AN22+AL22/AS22)</f>
        <v/>
      </c>
      <c r="BB22" t="inlineStr">
        <is>
          <t>-</t>
        </is>
      </c>
      <c r="BC22" t="n">
        <v>0</v>
      </c>
      <c r="BD22">
        <f>IF(BC22&lt;&gt;0, BC22, BA22)</f>
        <v/>
      </c>
      <c r="BE22">
        <f>1-BD22/AS22</f>
        <v/>
      </c>
      <c r="BF22">
        <f>(AS22-AR22)/(AS22-BD22)</f>
        <v/>
      </c>
      <c r="BG22">
        <f>(AM22-AS22)/(AM22-BD22)</f>
        <v/>
      </c>
      <c r="BH22">
        <f>(AS22-AR22)/(AS22-AL22)</f>
        <v/>
      </c>
      <c r="BI22">
        <f>(AM22-AS22)/(AM22-AL22)</f>
        <v/>
      </c>
      <c r="BJ22">
        <f>(BF22*BD22/AR22)</f>
        <v/>
      </c>
      <c r="BK22">
        <f>(1-BJ22)</f>
        <v/>
      </c>
      <c r="BL22" t="n">
        <v>1166</v>
      </c>
      <c r="BM22" t="n">
        <v>290</v>
      </c>
      <c r="BN22" t="n">
        <v>1275.63</v>
      </c>
      <c r="BO22" t="n">
        <v>145</v>
      </c>
      <c r="BP22" t="n">
        <v>8135.53</v>
      </c>
      <c r="BQ22" t="n">
        <v>1265.26</v>
      </c>
      <c r="BR22" t="n">
        <v>10.37</v>
      </c>
      <c r="BS22" t="n">
        <v>300</v>
      </c>
      <c r="BT22" t="n">
        <v>19.3</v>
      </c>
      <c r="BU22" t="n">
        <v>1332.45541265344</v>
      </c>
      <c r="BV22" t="n">
        <v>1.81080575079226</v>
      </c>
      <c r="BW22" t="n">
        <v>-54.6693079656955</v>
      </c>
      <c r="BX22" t="n">
        <v>1.31551974861254</v>
      </c>
      <c r="BY22" t="n">
        <v>0.984045586611453</v>
      </c>
      <c r="BZ22" t="n">
        <v>-0.00539105072302559</v>
      </c>
      <c r="CA22" t="n">
        <v>290</v>
      </c>
      <c r="CB22" t="n">
        <v>1248.3</v>
      </c>
      <c r="CC22" t="n">
        <v>615</v>
      </c>
      <c r="CD22" t="n">
        <v>8117.41</v>
      </c>
      <c r="CE22" t="n">
        <v>1265.11</v>
      </c>
      <c r="CF22" t="n">
        <v>-16.81</v>
      </c>
      <c r="CT22">
        <f>$B$11*DR22+$C$11*DS22+$F$11*ED22*(1-EG22)</f>
        <v/>
      </c>
      <c r="CU22">
        <f>CT22*CV22</f>
        <v/>
      </c>
      <c r="CV22">
        <f>($B$11*$D$9+$C$11*$D$9+$F$11*((EQ22+EI22)/MAX(EQ22+EI22+ER22, 0.1)*$I$9+ER22/MAX(EQ22+EI22+ER22, 0.1)*$J$9))/($B$11+$C$11+$F$11)</f>
        <v/>
      </c>
      <c r="CW22">
        <f>($B$11*$K$9+$C$11*$K$9+$F$11*((EQ22+EI22)/MAX(EQ22+EI22+ER22, 0.1)*$P$9+ER22/MAX(EQ22+EI22+ER22, 0.1)*$Q$9))/($B$11+$C$11+$F$11)</f>
        <v/>
      </c>
      <c r="CX22" t="n">
        <v>2</v>
      </c>
      <c r="CY22" t="n">
        <v>0.5</v>
      </c>
      <c r="CZ22" t="inlineStr">
        <is>
          <t>0: Broadleaf</t>
        </is>
      </c>
      <c r="DA22" t="n">
        <v>2</v>
      </c>
      <c r="DB22" t="n">
        <v>1792300627.1</v>
      </c>
      <c r="DC22" t="n">
        <v>393.1234</v>
      </c>
      <c r="DD22" t="n">
        <v>400.0442</v>
      </c>
      <c r="DE22" t="n">
        <v>17.56092</v>
      </c>
      <c r="DF22" t="n">
        <v>15.28136</v>
      </c>
      <c r="DG22" t="n">
        <v>392.1866</v>
      </c>
      <c r="DH22" t="n">
        <v>17.65656</v>
      </c>
      <c r="DI22" t="n">
        <v>499.9812</v>
      </c>
      <c r="DJ22" t="n">
        <v>100.8658</v>
      </c>
      <c r="DK22" t="n">
        <v>0.09995956</v>
      </c>
      <c r="DL22" t="n">
        <v>25.2778</v>
      </c>
      <c r="DM22" t="n">
        <v>24.9993</v>
      </c>
      <c r="DN22" t="n">
        <v>999.9</v>
      </c>
      <c r="DO22" t="n">
        <v>0</v>
      </c>
      <c r="DP22" t="n">
        <v>0</v>
      </c>
      <c r="DQ22" t="n">
        <v>10021.756</v>
      </c>
      <c r="DR22" t="n">
        <v>0</v>
      </c>
      <c r="DS22" t="n">
        <v>5.957418</v>
      </c>
      <c r="DT22" t="n">
        <v>-6.92085</v>
      </c>
      <c r="DU22" t="n">
        <v>400.1502</v>
      </c>
      <c r="DV22" t="n">
        <v>406.2522</v>
      </c>
      <c r="DW22" t="n">
        <v>2.27952</v>
      </c>
      <c r="DX22" t="n">
        <v>400.0442</v>
      </c>
      <c r="DY22" t="n">
        <v>15.28136</v>
      </c>
      <c r="DZ22" t="n">
        <v>1.771294</v>
      </c>
      <c r="EA22" t="n">
        <v>1.541368</v>
      </c>
      <c r="EB22" t="n">
        <v>15.53572</v>
      </c>
      <c r="EC22" t="n">
        <v>13.3848</v>
      </c>
      <c r="ED22" t="n">
        <v>1499.988</v>
      </c>
      <c r="EE22" t="n">
        <v>0.9730006</v>
      </c>
      <c r="EF22" t="n">
        <v>0.02699914</v>
      </c>
      <c r="EG22" t="n">
        <v>0</v>
      </c>
      <c r="EH22" t="n">
        <v>227.5814</v>
      </c>
      <c r="EI22" t="n">
        <v>5.00064</v>
      </c>
      <c r="EJ22" t="n">
        <v>3670.714</v>
      </c>
      <c r="EK22" t="n">
        <v>15439.08</v>
      </c>
      <c r="EL22" t="n">
        <v>41.1622</v>
      </c>
      <c r="EM22" t="n">
        <v>41.812</v>
      </c>
      <c r="EN22" t="n">
        <v>41.5</v>
      </c>
      <c r="EO22" t="n">
        <v>41.4748</v>
      </c>
      <c r="EP22" t="n">
        <v>42.6374</v>
      </c>
      <c r="EQ22" t="n">
        <v>1454.628</v>
      </c>
      <c r="ER22" t="n">
        <v>40.36</v>
      </c>
      <c r="ES22" t="n">
        <v>0</v>
      </c>
      <c r="ET22" t="n">
        <v>2486.10000014305</v>
      </c>
      <c r="EU22" t="n">
        <v>0</v>
      </c>
      <c r="EV22" t="n">
        <v>227.550730769231</v>
      </c>
      <c r="EW22" t="n">
        <v>2.48830769167482</v>
      </c>
      <c r="EX22" t="n">
        <v>40.1196581262475</v>
      </c>
      <c r="EY22" t="n">
        <v>3667.91923076923</v>
      </c>
      <c r="EZ22" t="n">
        <v>15</v>
      </c>
      <c r="FA22" t="n">
        <v>1792300545.1</v>
      </c>
      <c r="FB22" t="inlineStr">
        <is>
          <t>14:15:45</t>
        </is>
      </c>
      <c r="FC22" t="n">
        <v>1792300545.1</v>
      </c>
      <c r="FD22" t="n">
        <v>1792300543.1</v>
      </c>
      <c r="FE22" t="n">
        <v>46</v>
      </c>
      <c r="FF22" t="n">
        <v>0.782</v>
      </c>
      <c r="FG22" t="n">
        <v>0.007</v>
      </c>
      <c r="FH22" t="n">
        <v>0.9389999999999999</v>
      </c>
      <c r="FI22" t="n">
        <v>-0.174</v>
      </c>
      <c r="FJ22" t="n">
        <v>400</v>
      </c>
      <c r="FK22" t="n">
        <v>15</v>
      </c>
      <c r="FL22" t="n">
        <v>0.28</v>
      </c>
      <c r="FM22" t="n">
        <v>0.03</v>
      </c>
      <c r="FN22" t="n">
        <v>14.8822020661456</v>
      </c>
      <c r="FO22" t="n">
        <v>0.746412894593416</v>
      </c>
      <c r="FP22" t="n">
        <v>0.185790607513275</v>
      </c>
      <c r="FQ22" t="n">
        <v>0</v>
      </c>
      <c r="FR22" t="n">
        <v>-6.86059857142857</v>
      </c>
      <c r="FS22" t="n">
        <v>-0.301330909090915</v>
      </c>
      <c r="FT22" t="n">
        <v>0.0725096730680491</v>
      </c>
      <c r="FU22" t="n">
        <v>1</v>
      </c>
      <c r="FV22" t="n">
        <v>227.372558823529</v>
      </c>
      <c r="FW22" t="n">
        <v>2.90235294365917</v>
      </c>
      <c r="FX22" t="n">
        <v>0.368359095191608</v>
      </c>
      <c r="FY22" t="n">
        <v>0</v>
      </c>
      <c r="FZ22" t="n">
        <v>1</v>
      </c>
      <c r="GA22" t="n">
        <v>3</v>
      </c>
      <c r="GB22" t="inlineStr">
        <is>
          <t>1/3</t>
        </is>
      </c>
      <c r="GC22" t="n">
        <v>3.12336</v>
      </c>
      <c r="GD22" t="n">
        <v>2.76524</v>
      </c>
      <c r="GE22" t="n">
        <v>0.0863054</v>
      </c>
      <c r="GF22" t="n">
        <v>0.08977739999999999</v>
      </c>
      <c r="GG22" t="n">
        <v>0.09326470000000001</v>
      </c>
      <c r="GH22" t="n">
        <v>0.0873728</v>
      </c>
      <c r="GI22" t="n">
        <v>17798.6</v>
      </c>
      <c r="GJ22" t="n">
        <v>26744.1</v>
      </c>
      <c r="GK22" t="n">
        <v>22762.4</v>
      </c>
      <c r="GL22" t="n">
        <v>30107.4</v>
      </c>
      <c r="GM22" t="n">
        <v>33854.3</v>
      </c>
      <c r="GN22" t="n">
        <v>34234.8</v>
      </c>
      <c r="GO22" t="n">
        <v>43068.1</v>
      </c>
      <c r="GP22" t="n">
        <v>42885.4</v>
      </c>
      <c r="GQ22" t="n">
        <v>1.9723</v>
      </c>
      <c r="GR22" t="n">
        <v>1.80807</v>
      </c>
      <c r="GS22" t="n">
        <v>0.0696331</v>
      </c>
      <c r="GT22" t="n">
        <v>0</v>
      </c>
      <c r="GU22" t="n">
        <v>23.8454</v>
      </c>
      <c r="GV22" t="n">
        <v>999.9</v>
      </c>
      <c r="GW22" t="n">
        <v>40.325</v>
      </c>
      <c r="GX22" t="n">
        <v>32.579</v>
      </c>
      <c r="GY22" t="n">
        <v>19.724</v>
      </c>
      <c r="GZ22" t="n">
        <v>63.1115</v>
      </c>
      <c r="HA22" t="n">
        <v>36.0136</v>
      </c>
      <c r="HB22" t="n">
        <v>1</v>
      </c>
      <c r="HC22" t="n">
        <v>0.0685086</v>
      </c>
      <c r="HD22" t="n">
        <v>2.01136</v>
      </c>
      <c r="HE22" t="n">
        <v>20.226</v>
      </c>
      <c r="HF22" t="n">
        <v>5.23197</v>
      </c>
      <c r="HG22" t="n">
        <v>11.962</v>
      </c>
      <c r="HH22" t="n">
        <v>4.96885</v>
      </c>
      <c r="HI22" t="n">
        <v>3.2951</v>
      </c>
      <c r="HJ22" t="n">
        <v>9999</v>
      </c>
      <c r="HK22" t="n">
        <v>9999</v>
      </c>
      <c r="HL22" t="n">
        <v>9999</v>
      </c>
      <c r="HM22" t="n">
        <v>999.9</v>
      </c>
      <c r="HN22" t="n">
        <v>4.96861</v>
      </c>
      <c r="HO22" t="n">
        <v>1.86246</v>
      </c>
      <c r="HP22" t="n">
        <v>1.86399</v>
      </c>
      <c r="HQ22" t="n">
        <v>1.86585</v>
      </c>
      <c r="HR22" t="n">
        <v>1.86295</v>
      </c>
      <c r="HS22" t="n">
        <v>1.86661</v>
      </c>
      <c r="HT22" t="n">
        <v>1.86338</v>
      </c>
      <c r="HU22" t="n">
        <v>1.86527</v>
      </c>
      <c r="HV22" t="n">
        <v>0</v>
      </c>
      <c r="HW22" t="n">
        <v>0</v>
      </c>
      <c r="HX22" t="n">
        <v>0</v>
      </c>
      <c r="HY22" t="n">
        <v>0</v>
      </c>
      <c r="HZ22" t="inlineStr">
        <is>
          <t>11111111</t>
        </is>
      </c>
      <c r="IA22" t="inlineStr">
        <is>
          <t>oooooooo</t>
        </is>
      </c>
      <c r="IB22" t="inlineStr">
        <is>
          <t>on</t>
        </is>
      </c>
      <c r="IC22" t="inlineStr">
        <is>
          <t>on</t>
        </is>
      </c>
      <c r="ID22" t="inlineStr">
        <is>
          <t>on</t>
        </is>
      </c>
      <c r="IE22" t="inlineStr">
        <is>
          <t>on</t>
        </is>
      </c>
      <c r="IF22" t="n">
        <v>0</v>
      </c>
      <c r="IG22" t="n">
        <v>100</v>
      </c>
      <c r="IH22" t="n">
        <v>100</v>
      </c>
      <c r="II22" t="n">
        <v>0.9370000000000001</v>
      </c>
      <c r="IJ22" t="n">
        <v>-0.0959</v>
      </c>
      <c r="IK22" t="n">
        <v>0.812832400203362</v>
      </c>
      <c r="IL22" t="n">
        <v>0.000216929631606078</v>
      </c>
      <c r="IM22" t="n">
        <v>2.72263024731635e-07</v>
      </c>
      <c r="IN22" t="n">
        <v>-5.43792051235154e-11</v>
      </c>
      <c r="IO22" t="n">
        <v>-0.0124460971772664</v>
      </c>
      <c r="IP22" t="n">
        <v>-0.0584433849545669</v>
      </c>
      <c r="IQ22" t="n">
        <v>0.00341568706061026</v>
      </c>
      <c r="IR22" t="n">
        <v>-2.10952612506686e-05</v>
      </c>
      <c r="IS22" t="n">
        <v>0</v>
      </c>
      <c r="IT22" t="n">
        <v>1734</v>
      </c>
      <c r="IU22" t="n">
        <v>2</v>
      </c>
      <c r="IV22" t="n">
        <v>19</v>
      </c>
      <c r="IW22" t="n">
        <v>1.4</v>
      </c>
      <c r="IX22" t="n">
        <v>1.4</v>
      </c>
      <c r="IY22" t="n">
        <v>1.05469</v>
      </c>
      <c r="IZ22" t="n">
        <v>2.5708</v>
      </c>
      <c r="JA22" t="n">
        <v>1.34644</v>
      </c>
      <c r="JB22" t="n">
        <v>2.26074</v>
      </c>
      <c r="JC22" t="n">
        <v>1.55029</v>
      </c>
      <c r="JD22" t="n">
        <v>2.6001</v>
      </c>
      <c r="JE22" t="n">
        <v>36.4343</v>
      </c>
      <c r="JF22" t="n">
        <v>14.9551</v>
      </c>
      <c r="JG22" t="n">
        <v>18</v>
      </c>
      <c r="JH22" t="n">
        <v>501.463</v>
      </c>
      <c r="JI22" t="n">
        <v>473.122</v>
      </c>
      <c r="JJ22" t="n">
        <v>21.9713</v>
      </c>
      <c r="JK22" t="n">
        <v>28.1446</v>
      </c>
      <c r="JL22" t="n">
        <v>29.9999</v>
      </c>
      <c r="JM22" t="n">
        <v>28.1579</v>
      </c>
      <c r="JN22" t="n">
        <v>28.1758</v>
      </c>
      <c r="JO22" t="n">
        <v>21.1158</v>
      </c>
      <c r="JP22" t="n">
        <v>31.0624</v>
      </c>
      <c r="JQ22" t="n">
        <v>21.0956</v>
      </c>
      <c r="JR22" t="n">
        <v>21.9513</v>
      </c>
      <c r="JS22" t="n">
        <v>400</v>
      </c>
      <c r="JT22" t="n">
        <v>15.3218</v>
      </c>
      <c r="JU22" t="n">
        <v>101.695</v>
      </c>
      <c r="JV22" t="n">
        <v>97.37860000000001</v>
      </c>
    </row>
    <row r="23">
      <c r="A23" t="n">
        <v>7</v>
      </c>
      <c r="B23" t="n">
        <v>1792300781.1</v>
      </c>
      <c r="C23" t="n">
        <v>786.099999904633</v>
      </c>
      <c r="D23" t="inlineStr">
        <is>
          <t>20261018 14:19:41</t>
        </is>
      </c>
      <c r="E23" t="inlineStr">
        <is>
          <t>14:19:41</t>
        </is>
      </c>
      <c r="F23" t="n">
        <v>5</v>
      </c>
      <c r="G23" t="n">
        <v>1792300777.6</v>
      </c>
      <c r="H23">
        <f>(I23)/1000</f>
        <v/>
      </c>
      <c r="I23">
        <f>1000*DI23*AG23*(DE23-DF23)/(100*CX23*(1000-AG23*DE23))</f>
        <v/>
      </c>
      <c r="J23">
        <f>DI23*AG23*(DD23-DC23*(1000-AG23*DF23)/(1000-AG23*DE23))/(100*CX23)</f>
        <v/>
      </c>
      <c r="K23">
        <f>DC23 - IF(AG23&gt;1, J23*CX23*100.0/(AI23), 0)</f>
        <v/>
      </c>
      <c r="L23">
        <f>((R23-H23/2)*K23-J23)/(R23+H23/2)</f>
        <v/>
      </c>
      <c r="M23">
        <f>L23*(DJ23+DK23)/1000.0</f>
        <v/>
      </c>
      <c r="N23">
        <f>(DC23 - IF(AG23&gt;1, J23*CX23*100.0/(AI23), 0))*(DJ23+DK23)/1000.0</f>
        <v/>
      </c>
      <c r="O23">
        <f>2.0/((1/Q23-1/P23)+SIGN(Q23)*SQRT((1/Q23-1/P23)*(1/Q23-1/P23) + 4*CY23/((CY23+1)*(CY23+1))*(2*1/Q23*1/P23-1/P23*1/P23)))</f>
        <v/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/>
      </c>
      <c r="Q23">
        <f>H23*(1000-(1000*0.61365*exp(17.502*U23/(240.97+U23))/(DJ23+DK23)+DE23)/2)/(1000*0.61365*exp(17.502*U23/(240.97+U23))/(DJ23+DK23)-DE23)</f>
        <v/>
      </c>
      <c r="R23">
        <f>1/((CY23+1)/(O23/1.6)+1/(P23/1.37)) + CY23/((CY23+1)/(O23/1.6) + CY23/(P23/1.37))</f>
        <v/>
      </c>
      <c r="S23">
        <f>(CT23*CW23)</f>
        <v/>
      </c>
      <c r="T23">
        <f>(DL23+(S23+2*0.95*5.67E-8*(((DL23+$B$7)+273)^4-(DL23+273)^4)-44100*H23)/(1.84*29.3*P23+8*0.95*5.67E-8*(DL23+273)^3))</f>
        <v/>
      </c>
      <c r="U23">
        <f>($C$7*DM23+$D$7*DN23+$E$7*T23)</f>
        <v/>
      </c>
      <c r="V23">
        <f>0.61365*exp(17.502*U23/(240.97+U23))</f>
        <v/>
      </c>
      <c r="W23">
        <f>(X23/Y23*100)</f>
        <v/>
      </c>
      <c r="X23">
        <f>DE23*(DJ23+DK23)/1000</f>
        <v/>
      </c>
      <c r="Y23">
        <f>0.61365*exp(17.502*DL23/(240.97+DL23))</f>
        <v/>
      </c>
      <c r="Z23">
        <f>(V23-DE23*(DJ23+DK23)/1000)</f>
        <v/>
      </c>
      <c r="AA23">
        <f>(-H23*44100)</f>
        <v/>
      </c>
      <c r="AB23">
        <f>2*29.3*P23*0.92*(DL23-U23)</f>
        <v/>
      </c>
      <c r="AC23">
        <f>2*0.95*5.67E-8*(((DL23+$B$7)+273)^4-(U23+273)^4)</f>
        <v/>
      </c>
      <c r="AD23">
        <f>S23+AC23+AA23+AB23</f>
        <v/>
      </c>
      <c r="AE23" t="n">
        <v>0</v>
      </c>
      <c r="AF23" t="n">
        <v>0</v>
      </c>
      <c r="AG23">
        <f>IF(AE23*$H$13&gt;=AI23,1.0,(AI23/(AI23-AE23*$H$13)))</f>
        <v/>
      </c>
      <c r="AH23">
        <f>(AG23-1)*100</f>
        <v/>
      </c>
      <c r="AI23">
        <f>MAX(0,($B$13+$C$13*DQ23)/(1+$D$13*DQ23)*DJ23/(DL23+273)*$E$13)</f>
        <v/>
      </c>
      <c r="AJ23" t="inlineStr">
        <is>
          <t>-</t>
        </is>
      </c>
      <c r="AK23" t="inlineStr">
        <is>
          <t>-</t>
        </is>
      </c>
      <c r="AL23" t="n">
        <v>0</v>
      </c>
      <c r="AM23" t="n">
        <v>0</v>
      </c>
      <c r="AN23">
        <f>1-AL23/AM23</f>
        <v/>
      </c>
      <c r="AO23" t="n">
        <v>0</v>
      </c>
      <c r="AP23" t="inlineStr">
        <is>
          <t>-</t>
        </is>
      </c>
      <c r="AQ23" t="inlineStr">
        <is>
          <t>-</t>
        </is>
      </c>
      <c r="AR23" t="n">
        <v>0</v>
      </c>
      <c r="AS23" t="n">
        <v>0</v>
      </c>
      <c r="AT23">
        <f>1-AR23/AS23</f>
        <v/>
      </c>
      <c r="AU23" t="n">
        <v>0.5</v>
      </c>
      <c r="AV23">
        <f>CU23</f>
        <v/>
      </c>
      <c r="AW23">
        <f>J23</f>
        <v/>
      </c>
      <c r="AX23">
        <f>AT23*AU23*AV23</f>
        <v/>
      </c>
      <c r="AY23">
        <f>(AW23-AO23)/AV23</f>
        <v/>
      </c>
      <c r="AZ23">
        <f>(AM23-AS23)/AS23</f>
        <v/>
      </c>
      <c r="BA23">
        <f>AL23/(AN23+AL23/AS23)</f>
        <v/>
      </c>
      <c r="BB23" t="inlineStr">
        <is>
          <t>-</t>
        </is>
      </c>
      <c r="BC23" t="n">
        <v>0</v>
      </c>
      <c r="BD23">
        <f>IF(BC23&lt;&gt;0, BC23, BA23)</f>
        <v/>
      </c>
      <c r="BE23">
        <f>1-BD23/AS23</f>
        <v/>
      </c>
      <c r="BF23">
        <f>(AS23-AR23)/(AS23-BD23)</f>
        <v/>
      </c>
      <c r="BG23">
        <f>(AM23-AS23)/(AM23-BD23)</f>
        <v/>
      </c>
      <c r="BH23">
        <f>(AS23-AR23)/(AS23-AL23)</f>
        <v/>
      </c>
      <c r="BI23">
        <f>(AM23-AS23)/(AM23-AL23)</f>
        <v/>
      </c>
      <c r="BJ23">
        <f>(BF23*BD23/AR23)</f>
        <v/>
      </c>
      <c r="BK23">
        <f>(1-BJ23)</f>
        <v/>
      </c>
      <c r="BL23" t="n">
        <v>1166</v>
      </c>
      <c r="BM23" t="n">
        <v>290</v>
      </c>
      <c r="BN23" t="n">
        <v>1275.63</v>
      </c>
      <c r="BO23" t="n">
        <v>145</v>
      </c>
      <c r="BP23" t="n">
        <v>8135.53</v>
      </c>
      <c r="BQ23" t="n">
        <v>1265.26</v>
      </c>
      <c r="BR23" t="n">
        <v>10.37</v>
      </c>
      <c r="BS23" t="n">
        <v>300</v>
      </c>
      <c r="BT23" t="n">
        <v>19.3</v>
      </c>
      <c r="BU23" t="n">
        <v>1332.45541265344</v>
      </c>
      <c r="BV23" t="n">
        <v>1.81080575079226</v>
      </c>
      <c r="BW23" t="n">
        <v>-54.6693079656955</v>
      </c>
      <c r="BX23" t="n">
        <v>1.31551974861254</v>
      </c>
      <c r="BY23" t="n">
        <v>0.984045586611453</v>
      </c>
      <c r="BZ23" t="n">
        <v>-0.00539105072302559</v>
      </c>
      <c r="CA23" t="n">
        <v>290</v>
      </c>
      <c r="CB23" t="n">
        <v>1248.3</v>
      </c>
      <c r="CC23" t="n">
        <v>615</v>
      </c>
      <c r="CD23" t="n">
        <v>8117.41</v>
      </c>
      <c r="CE23" t="n">
        <v>1265.11</v>
      </c>
      <c r="CF23" t="n">
        <v>-16.81</v>
      </c>
      <c r="CT23">
        <f>$B$11*DR23+$C$11*DS23+$F$11*ED23*(1-EG23)</f>
        <v/>
      </c>
      <c r="CU23">
        <f>CT23*CV23</f>
        <v/>
      </c>
      <c r="CV23">
        <f>($B$11*$D$9+$C$11*$D$9+$F$11*((EQ23+EI23)/MAX(EQ23+EI23+ER23, 0.1)*$I$9+ER23/MAX(EQ23+EI23+ER23, 0.1)*$J$9))/($B$11+$C$11+$F$11)</f>
        <v/>
      </c>
      <c r="CW23">
        <f>($B$11*$K$9+$C$11*$K$9+$F$11*((EQ23+EI23)/MAX(EQ23+EI23+ER23, 0.1)*$P$9+ER23/MAX(EQ23+EI23+ER23, 0.1)*$Q$9))/($B$11+$C$11+$F$11)</f>
        <v/>
      </c>
      <c r="CX23" t="n">
        <v>2</v>
      </c>
      <c r="CY23" t="n">
        <v>0.5</v>
      </c>
      <c r="CZ23" t="inlineStr">
        <is>
          <t>0: Broadleaf</t>
        </is>
      </c>
      <c r="DA23" t="n">
        <v>2</v>
      </c>
      <c r="DB23" t="n">
        <v>1792300777.6</v>
      </c>
      <c r="DC23" t="n">
        <v>392.714833333333</v>
      </c>
      <c r="DD23" t="n">
        <v>399.9785</v>
      </c>
      <c r="DE23" t="n">
        <v>17.6026166666667</v>
      </c>
      <c r="DF23" t="n">
        <v>15.2609666666667</v>
      </c>
      <c r="DG23" t="n">
        <v>391.7765</v>
      </c>
      <c r="DH23" t="n">
        <v>17.6953833333333</v>
      </c>
      <c r="DI23" t="n">
        <v>499.9125</v>
      </c>
      <c r="DJ23" t="n">
        <v>100.863666666667</v>
      </c>
      <c r="DK23" t="n">
        <v>0.0997983833333333</v>
      </c>
      <c r="DL23" t="n">
        <v>25.30425</v>
      </c>
      <c r="DM23" t="n">
        <v>24.9906166666667</v>
      </c>
      <c r="DN23" t="n">
        <v>999.9</v>
      </c>
      <c r="DO23" t="n">
        <v>0</v>
      </c>
      <c r="DP23" t="n">
        <v>0</v>
      </c>
      <c r="DQ23" t="n">
        <v>10011.2333333333</v>
      </c>
      <c r="DR23" t="n">
        <v>0</v>
      </c>
      <c r="DS23" t="n">
        <v>6.00161</v>
      </c>
      <c r="DT23" t="n">
        <v>-7.264145</v>
      </c>
      <c r="DU23" t="n">
        <v>399.751166666667</v>
      </c>
      <c r="DV23" t="n">
        <v>406.177333333333</v>
      </c>
      <c r="DW23" t="n">
        <v>2.34164833333333</v>
      </c>
      <c r="DX23" t="n">
        <v>399.9785</v>
      </c>
      <c r="DY23" t="n">
        <v>15.2609666666667</v>
      </c>
      <c r="DZ23" t="n">
        <v>1.775465</v>
      </c>
      <c r="EA23" t="n">
        <v>1.539275</v>
      </c>
      <c r="EB23" t="n">
        <v>15.57245</v>
      </c>
      <c r="EC23" t="n">
        <v>13.3639833333333</v>
      </c>
      <c r="ED23" t="n">
        <v>1500.00666666667</v>
      </c>
      <c r="EE23" t="n">
        <v>0.973000333333333</v>
      </c>
      <c r="EF23" t="n">
        <v>0.0269994</v>
      </c>
      <c r="EG23" t="n">
        <v>0</v>
      </c>
      <c r="EH23" t="n">
        <v>233.833833333333</v>
      </c>
      <c r="EI23" t="n">
        <v>5.00064</v>
      </c>
      <c r="EJ23" t="n">
        <v>3769.24666666667</v>
      </c>
      <c r="EK23" t="n">
        <v>15439.2833333333</v>
      </c>
      <c r="EL23" t="n">
        <v>41.187</v>
      </c>
      <c r="EM23" t="n">
        <v>41.875</v>
      </c>
      <c r="EN23" t="n">
        <v>41.5206666666667</v>
      </c>
      <c r="EO23" t="n">
        <v>41.5</v>
      </c>
      <c r="EP23" t="n">
        <v>42.687</v>
      </c>
      <c r="EQ23" t="n">
        <v>1454.63833333333</v>
      </c>
      <c r="ER23" t="n">
        <v>40.36</v>
      </c>
      <c r="ES23" t="n">
        <v>0</v>
      </c>
      <c r="ET23" t="n">
        <v>2636.70000004768</v>
      </c>
      <c r="EU23" t="n">
        <v>0</v>
      </c>
      <c r="EV23" t="n">
        <v>233.81404</v>
      </c>
      <c r="EW23" t="n">
        <v>1.00030769448227</v>
      </c>
      <c r="EX23" t="n">
        <v>23.2584615334933</v>
      </c>
      <c r="EY23" t="n">
        <v>3767.6404</v>
      </c>
      <c r="EZ23" t="n">
        <v>15</v>
      </c>
      <c r="FA23" t="n">
        <v>1792300687.1</v>
      </c>
      <c r="FB23" t="inlineStr">
        <is>
          <t>14:18:07</t>
        </is>
      </c>
      <c r="FC23" t="n">
        <v>1792300681.1</v>
      </c>
      <c r="FD23" t="n">
        <v>1792300687.1</v>
      </c>
      <c r="FE23" t="n">
        <v>47</v>
      </c>
      <c r="FF23" t="n">
        <v>0.002</v>
      </c>
      <c r="FG23" t="n">
        <v>0.001</v>
      </c>
      <c r="FH23" t="n">
        <v>0.9409999999999999</v>
      </c>
      <c r="FI23" t="n">
        <v>-0.177</v>
      </c>
      <c r="FJ23" t="n">
        <v>400</v>
      </c>
      <c r="FK23" t="n">
        <v>15</v>
      </c>
      <c r="FL23" t="n">
        <v>0.19</v>
      </c>
      <c r="FM23" t="n">
        <v>0.03</v>
      </c>
      <c r="FN23" t="n">
        <v>15.892172518408</v>
      </c>
      <c r="FO23" t="n">
        <v>-0.0904032032755589</v>
      </c>
      <c r="FP23" t="n">
        <v>0.089875170601017</v>
      </c>
      <c r="FQ23" t="n">
        <v>1</v>
      </c>
      <c r="FR23" t="n">
        <v>-7.28863714285714</v>
      </c>
      <c r="FS23" t="n">
        <v>0.0322683116883075</v>
      </c>
      <c r="FT23" t="n">
        <v>0.0358692135061675</v>
      </c>
      <c r="FU23" t="n">
        <v>1</v>
      </c>
      <c r="FV23" t="n">
        <v>233.698176470588</v>
      </c>
      <c r="FW23" t="n">
        <v>1.73705118591107</v>
      </c>
      <c r="FX23" t="n">
        <v>0.264370892607584</v>
      </c>
      <c r="FY23" t="n">
        <v>0</v>
      </c>
      <c r="FZ23" t="n">
        <v>2</v>
      </c>
      <c r="GA23" t="n">
        <v>3</v>
      </c>
      <c r="GB23" t="inlineStr">
        <is>
          <t>2/3</t>
        </is>
      </c>
      <c r="GC23" t="n">
        <v>3.12349</v>
      </c>
      <c r="GD23" t="n">
        <v>2.76535</v>
      </c>
      <c r="GE23" t="n">
        <v>0.08624419999999999</v>
      </c>
      <c r="GF23" t="n">
        <v>0.089782</v>
      </c>
      <c r="GG23" t="n">
        <v>0.0934344</v>
      </c>
      <c r="GH23" t="n">
        <v>0.0872912</v>
      </c>
      <c r="GI23" t="n">
        <v>17800.2</v>
      </c>
      <c r="GJ23" t="n">
        <v>26744</v>
      </c>
      <c r="GK23" t="n">
        <v>22762.8</v>
      </c>
      <c r="GL23" t="n">
        <v>30107.4</v>
      </c>
      <c r="GM23" t="n">
        <v>33848.3</v>
      </c>
      <c r="GN23" t="n">
        <v>34237.7</v>
      </c>
      <c r="GO23" t="n">
        <v>43068.9</v>
      </c>
      <c r="GP23" t="n">
        <v>42885.2</v>
      </c>
      <c r="GQ23" t="n">
        <v>1.97292</v>
      </c>
      <c r="GR23" t="n">
        <v>1.8085</v>
      </c>
      <c r="GS23" t="n">
        <v>0.06848949999999999</v>
      </c>
      <c r="GT23" t="n">
        <v>0</v>
      </c>
      <c r="GU23" t="n">
        <v>23.8595</v>
      </c>
      <c r="GV23" t="n">
        <v>999.9</v>
      </c>
      <c r="GW23" t="n">
        <v>40.215</v>
      </c>
      <c r="GX23" t="n">
        <v>32.559</v>
      </c>
      <c r="GY23" t="n">
        <v>19.6477</v>
      </c>
      <c r="GZ23" t="n">
        <v>63.2215</v>
      </c>
      <c r="HA23" t="n">
        <v>35.8093</v>
      </c>
      <c r="HB23" t="n">
        <v>1</v>
      </c>
      <c r="HC23" t="n">
        <v>0.0669004</v>
      </c>
      <c r="HD23" t="n">
        <v>1.97926</v>
      </c>
      <c r="HE23" t="n">
        <v>20.2264</v>
      </c>
      <c r="HF23" t="n">
        <v>5.23436</v>
      </c>
      <c r="HG23" t="n">
        <v>11.962</v>
      </c>
      <c r="HH23" t="n">
        <v>4.9695</v>
      </c>
      <c r="HI23" t="n">
        <v>3.29503</v>
      </c>
      <c r="HJ23" t="n">
        <v>9999</v>
      </c>
      <c r="HK23" t="n">
        <v>9999</v>
      </c>
      <c r="HL23" t="n">
        <v>9999</v>
      </c>
      <c r="HM23" t="n">
        <v>999.9</v>
      </c>
      <c r="HN23" t="n">
        <v>4.96859</v>
      </c>
      <c r="HO23" t="n">
        <v>1.86243</v>
      </c>
      <c r="HP23" t="n">
        <v>1.86398</v>
      </c>
      <c r="HQ23" t="n">
        <v>1.86585</v>
      </c>
      <c r="HR23" t="n">
        <v>1.86295</v>
      </c>
      <c r="HS23" t="n">
        <v>1.86661</v>
      </c>
      <c r="HT23" t="n">
        <v>1.8634</v>
      </c>
      <c r="HU23" t="n">
        <v>1.86527</v>
      </c>
      <c r="HV23" t="n">
        <v>0</v>
      </c>
      <c r="HW23" t="n">
        <v>0</v>
      </c>
      <c r="HX23" t="n">
        <v>0</v>
      </c>
      <c r="HY23" t="n">
        <v>0</v>
      </c>
      <c r="HZ23" t="inlineStr">
        <is>
          <t>11111111</t>
        </is>
      </c>
      <c r="IA23" t="inlineStr">
        <is>
          <t>oooooooo</t>
        </is>
      </c>
      <c r="IB23" t="inlineStr">
        <is>
          <t>on</t>
        </is>
      </c>
      <c r="IC23" t="inlineStr">
        <is>
          <t>on</t>
        </is>
      </c>
      <c r="ID23" t="inlineStr">
        <is>
          <t>on</t>
        </is>
      </c>
      <c r="IE23" t="inlineStr">
        <is>
          <t>on</t>
        </is>
      </c>
      <c r="IF23" t="n">
        <v>0</v>
      </c>
      <c r="IG23" t="n">
        <v>100</v>
      </c>
      <c r="IH23" t="n">
        <v>100</v>
      </c>
      <c r="II23" t="n">
        <v>0.9379999999999999</v>
      </c>
      <c r="IJ23" t="n">
        <v>-0.0929</v>
      </c>
      <c r="IK23" t="n">
        <v>0.814621206098358</v>
      </c>
      <c r="IL23" t="n">
        <v>0.000216929631606078</v>
      </c>
      <c r="IM23" t="n">
        <v>2.72263024731635e-07</v>
      </c>
      <c r="IN23" t="n">
        <v>-5.43792051235154e-11</v>
      </c>
      <c r="IO23" t="n">
        <v>-0.0112442152688996</v>
      </c>
      <c r="IP23" t="n">
        <v>-0.0584433849545669</v>
      </c>
      <c r="IQ23" t="n">
        <v>0.00341568706061026</v>
      </c>
      <c r="IR23" t="n">
        <v>-2.10952612506686e-05</v>
      </c>
      <c r="IS23" t="n">
        <v>0</v>
      </c>
      <c r="IT23" t="n">
        <v>1734</v>
      </c>
      <c r="IU23" t="n">
        <v>2</v>
      </c>
      <c r="IV23" t="n">
        <v>19</v>
      </c>
      <c r="IW23" t="n">
        <v>1.7</v>
      </c>
      <c r="IX23" t="n">
        <v>1.6</v>
      </c>
      <c r="IY23" t="n">
        <v>1.05469</v>
      </c>
      <c r="IZ23" t="n">
        <v>2.58423</v>
      </c>
      <c r="JA23" t="n">
        <v>1.34644</v>
      </c>
      <c r="JB23" t="n">
        <v>2.26196</v>
      </c>
      <c r="JC23" t="n">
        <v>1.55029</v>
      </c>
      <c r="JD23" t="n">
        <v>2.47803</v>
      </c>
      <c r="JE23" t="n">
        <v>36.3871</v>
      </c>
      <c r="JF23" t="n">
        <v>14.8675</v>
      </c>
      <c r="JG23" t="n">
        <v>18</v>
      </c>
      <c r="JH23" t="n">
        <v>501.466</v>
      </c>
      <c r="JI23" t="n">
        <v>473.03</v>
      </c>
      <c r="JJ23" t="n">
        <v>21.9482</v>
      </c>
      <c r="JK23" t="n">
        <v>28.1039</v>
      </c>
      <c r="JL23" t="n">
        <v>30</v>
      </c>
      <c r="JM23" t="n">
        <v>28.1132</v>
      </c>
      <c r="JN23" t="n">
        <v>28.1321</v>
      </c>
      <c r="JO23" t="n">
        <v>21.1123</v>
      </c>
      <c r="JP23" t="n">
        <v>30.5916</v>
      </c>
      <c r="JQ23" t="n">
        <v>20.0547</v>
      </c>
      <c r="JR23" t="n">
        <v>21.9528</v>
      </c>
      <c r="JS23" t="n">
        <v>400</v>
      </c>
      <c r="JT23" t="n">
        <v>15.3316</v>
      </c>
      <c r="JU23" t="n">
        <v>101.696</v>
      </c>
      <c r="JV23" t="n">
        <v>97.3783</v>
      </c>
    </row>
    <row r="24">
      <c r="A24" t="n">
        <v>8</v>
      </c>
      <c r="B24" t="n">
        <v>1792300931.1</v>
      </c>
      <c r="C24" t="n">
        <v>936.099999904633</v>
      </c>
      <c r="D24" t="inlineStr">
        <is>
          <t>20261018 14:22:11</t>
        </is>
      </c>
      <c r="E24" t="inlineStr">
        <is>
          <t>14:22:11</t>
        </is>
      </c>
      <c r="F24" t="n">
        <v>5</v>
      </c>
      <c r="G24" t="n">
        <v>1792300927.6</v>
      </c>
      <c r="H24">
        <f>(I24)/1000</f>
        <v/>
      </c>
      <c r="I24">
        <f>1000*DI24*AG24*(DE24-DF24)/(100*CX24*(1000-AG24*DE24))</f>
        <v/>
      </c>
      <c r="J24">
        <f>DI24*AG24*(DD24-DC24*(1000-AG24*DF24)/(1000-AG24*DE24))/(100*CX24)</f>
        <v/>
      </c>
      <c r="K24">
        <f>DC24 - IF(AG24&gt;1, J24*CX24*100.0/(AI24), 0)</f>
        <v/>
      </c>
      <c r="L24">
        <f>((R24-H24/2)*K24-J24)/(R24+H24/2)</f>
        <v/>
      </c>
      <c r="M24">
        <f>L24*(DJ24+DK24)/1000.0</f>
        <v/>
      </c>
      <c r="N24">
        <f>(DC24 - IF(AG24&gt;1, J24*CX24*100.0/(AI24), 0))*(DJ24+DK24)/1000.0</f>
        <v/>
      </c>
      <c r="O24">
        <f>2.0/((1/Q24-1/P24)+SIGN(Q24)*SQRT((1/Q24-1/P24)*(1/Q24-1/P24) + 4*CY24/((CY24+1)*(CY24+1))*(2*1/Q24*1/P24-1/P24*1/P24)))</f>
        <v/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/>
      </c>
      <c r="Q24">
        <f>H24*(1000-(1000*0.61365*exp(17.502*U24/(240.97+U24))/(DJ24+DK24)+DE24)/2)/(1000*0.61365*exp(17.502*U24/(240.97+U24))/(DJ24+DK24)-DE24)</f>
        <v/>
      </c>
      <c r="R24">
        <f>1/((CY24+1)/(O24/1.6)+1/(P24/1.37)) + CY24/((CY24+1)/(O24/1.6) + CY24/(P24/1.37))</f>
        <v/>
      </c>
      <c r="S24">
        <f>(CT24*CW24)</f>
        <v/>
      </c>
      <c r="T24">
        <f>(DL24+(S24+2*0.95*5.67E-8*(((DL24+$B$7)+273)^4-(DL24+273)^4)-44100*H24)/(1.84*29.3*P24+8*0.95*5.67E-8*(DL24+273)^3))</f>
        <v/>
      </c>
      <c r="U24">
        <f>($C$7*DM24+$D$7*DN24+$E$7*T24)</f>
        <v/>
      </c>
      <c r="V24">
        <f>0.61365*exp(17.502*U24/(240.97+U24))</f>
        <v/>
      </c>
      <c r="W24">
        <f>(X24/Y24*100)</f>
        <v/>
      </c>
      <c r="X24">
        <f>DE24*(DJ24+DK24)/1000</f>
        <v/>
      </c>
      <c r="Y24">
        <f>0.61365*exp(17.502*DL24/(240.97+DL24))</f>
        <v/>
      </c>
      <c r="Z24">
        <f>(V24-DE24*(DJ24+DK24)/1000)</f>
        <v/>
      </c>
      <c r="AA24">
        <f>(-H24*44100)</f>
        <v/>
      </c>
      <c r="AB24">
        <f>2*29.3*P24*0.92*(DL24-U24)</f>
        <v/>
      </c>
      <c r="AC24">
        <f>2*0.95*5.67E-8*(((DL24+$B$7)+273)^4-(U24+273)^4)</f>
        <v/>
      </c>
      <c r="AD24">
        <f>S24+AC24+AA24+AB24</f>
        <v/>
      </c>
      <c r="AE24" t="n">
        <v>0</v>
      </c>
      <c r="AF24" t="n">
        <v>0</v>
      </c>
      <c r="AG24">
        <f>IF(AE24*$H$13&gt;=AI24,1.0,(AI24/(AI24-AE24*$H$13)))</f>
        <v/>
      </c>
      <c r="AH24">
        <f>(AG24-1)*100</f>
        <v/>
      </c>
      <c r="AI24">
        <f>MAX(0,($B$13+$C$13*DQ24)/(1+$D$13*DQ24)*DJ24/(DL24+273)*$E$13)</f>
        <v/>
      </c>
      <c r="AJ24" t="inlineStr">
        <is>
          <t>-</t>
        </is>
      </c>
      <c r="AK24" t="inlineStr">
        <is>
          <t>-</t>
        </is>
      </c>
      <c r="AL24" t="n">
        <v>0</v>
      </c>
      <c r="AM24" t="n">
        <v>0</v>
      </c>
      <c r="AN24">
        <f>1-AL24/AM24</f>
        <v/>
      </c>
      <c r="AO24" t="n">
        <v>0</v>
      </c>
      <c r="AP24" t="inlineStr">
        <is>
          <t>-</t>
        </is>
      </c>
      <c r="AQ24" t="inlineStr">
        <is>
          <t>-</t>
        </is>
      </c>
      <c r="AR24" t="n">
        <v>0</v>
      </c>
      <c r="AS24" t="n">
        <v>0</v>
      </c>
      <c r="AT24">
        <f>1-AR24/AS24</f>
        <v/>
      </c>
      <c r="AU24" t="n">
        <v>0.5</v>
      </c>
      <c r="AV24">
        <f>CU24</f>
        <v/>
      </c>
      <c r="AW24">
        <f>J24</f>
        <v/>
      </c>
      <c r="AX24">
        <f>AT24*AU24*AV24</f>
        <v/>
      </c>
      <c r="AY24">
        <f>(AW24-AO24)/AV24</f>
        <v/>
      </c>
      <c r="AZ24">
        <f>(AM24-AS24)/AS24</f>
        <v/>
      </c>
      <c r="BA24">
        <f>AL24/(AN24+AL24/AS24)</f>
        <v/>
      </c>
      <c r="BB24" t="inlineStr">
        <is>
          <t>-</t>
        </is>
      </c>
      <c r="BC24" t="n">
        <v>0</v>
      </c>
      <c r="BD24">
        <f>IF(BC24&lt;&gt;0, BC24, BA24)</f>
        <v/>
      </c>
      <c r="BE24">
        <f>1-BD24/AS24</f>
        <v/>
      </c>
      <c r="BF24">
        <f>(AS24-AR24)/(AS24-BD24)</f>
        <v/>
      </c>
      <c r="BG24">
        <f>(AM24-AS24)/(AM24-BD24)</f>
        <v/>
      </c>
      <c r="BH24">
        <f>(AS24-AR24)/(AS24-AL24)</f>
        <v/>
      </c>
      <c r="BI24">
        <f>(AM24-AS24)/(AM24-AL24)</f>
        <v/>
      </c>
      <c r="BJ24">
        <f>(BF24*BD24/AR24)</f>
        <v/>
      </c>
      <c r="BK24">
        <f>(1-BJ24)</f>
        <v/>
      </c>
      <c r="BL24" t="n">
        <v>1166</v>
      </c>
      <c r="BM24" t="n">
        <v>290</v>
      </c>
      <c r="BN24" t="n">
        <v>1275.63</v>
      </c>
      <c r="BO24" t="n">
        <v>145</v>
      </c>
      <c r="BP24" t="n">
        <v>8135.53</v>
      </c>
      <c r="BQ24" t="n">
        <v>1265.26</v>
      </c>
      <c r="BR24" t="n">
        <v>10.37</v>
      </c>
      <c r="BS24" t="n">
        <v>300</v>
      </c>
      <c r="BT24" t="n">
        <v>19.3</v>
      </c>
      <c r="BU24" t="n">
        <v>1332.45541265344</v>
      </c>
      <c r="BV24" t="n">
        <v>1.81080575079226</v>
      </c>
      <c r="BW24" t="n">
        <v>-54.6693079656955</v>
      </c>
      <c r="BX24" t="n">
        <v>1.31551974861254</v>
      </c>
      <c r="BY24" t="n">
        <v>0.984045586611453</v>
      </c>
      <c r="BZ24" t="n">
        <v>-0.00539105072302559</v>
      </c>
      <c r="CA24" t="n">
        <v>290</v>
      </c>
      <c r="CB24" t="n">
        <v>1248.3</v>
      </c>
      <c r="CC24" t="n">
        <v>615</v>
      </c>
      <c r="CD24" t="n">
        <v>8117.41</v>
      </c>
      <c r="CE24" t="n">
        <v>1265.11</v>
      </c>
      <c r="CF24" t="n">
        <v>-16.81</v>
      </c>
      <c r="CT24">
        <f>$B$11*DR24+$C$11*DS24+$F$11*ED24*(1-EG24)</f>
        <v/>
      </c>
      <c r="CU24">
        <f>CT24*CV24</f>
        <v/>
      </c>
      <c r="CV24">
        <f>($B$11*$D$9+$C$11*$D$9+$F$11*((EQ24+EI24)/MAX(EQ24+EI24+ER24, 0.1)*$I$9+ER24/MAX(EQ24+EI24+ER24, 0.1)*$J$9))/($B$11+$C$11+$F$11)</f>
        <v/>
      </c>
      <c r="CW24">
        <f>($B$11*$K$9+$C$11*$K$9+$F$11*((EQ24+EI24)/MAX(EQ24+EI24+ER24, 0.1)*$P$9+ER24/MAX(EQ24+EI24+ER24, 0.1)*$Q$9))/($B$11+$C$11+$F$11)</f>
        <v/>
      </c>
      <c r="CX24" t="n">
        <v>2</v>
      </c>
      <c r="CY24" t="n">
        <v>0.5</v>
      </c>
      <c r="CZ24" t="inlineStr">
        <is>
          <t>0: Broadleaf</t>
        </is>
      </c>
      <c r="DA24" t="n">
        <v>2</v>
      </c>
      <c r="DB24" t="n">
        <v>1792300927.6</v>
      </c>
      <c r="DC24" t="n">
        <v>690.466166666667</v>
      </c>
      <c r="DD24" t="n">
        <v>700.023333333333</v>
      </c>
      <c r="DE24" t="n">
        <v>17.6536833333333</v>
      </c>
      <c r="DF24" t="n">
        <v>15.2936</v>
      </c>
      <c r="DG24" t="n">
        <v>689.465</v>
      </c>
      <c r="DH24" t="n">
        <v>17.7410666666667</v>
      </c>
      <c r="DI24" t="n">
        <v>500.009166666667</v>
      </c>
      <c r="DJ24" t="n">
        <v>100.854666666667</v>
      </c>
      <c r="DK24" t="n">
        <v>0.09991555000000001</v>
      </c>
      <c r="DL24" t="n">
        <v>25.3254333333333</v>
      </c>
      <c r="DM24" t="n">
        <v>25.0195666666667</v>
      </c>
      <c r="DN24" t="n">
        <v>999.9</v>
      </c>
      <c r="DO24" t="n">
        <v>0</v>
      </c>
      <c r="DP24" t="n">
        <v>0</v>
      </c>
      <c r="DQ24" t="n">
        <v>9998.31333333333</v>
      </c>
      <c r="DR24" t="n">
        <v>0</v>
      </c>
      <c r="DS24" t="n">
        <v>6.00161</v>
      </c>
      <c r="DT24" t="n">
        <v>-9.557138333333331</v>
      </c>
      <c r="DU24" t="n">
        <v>702.8745</v>
      </c>
      <c r="DV24" t="n">
        <v>710.895333333333</v>
      </c>
      <c r="DW24" t="n">
        <v>2.36007333333333</v>
      </c>
      <c r="DX24" t="n">
        <v>700.023333333333</v>
      </c>
      <c r="DY24" t="n">
        <v>15.2936</v>
      </c>
      <c r="DZ24" t="n">
        <v>1.78045333333333</v>
      </c>
      <c r="EA24" t="n">
        <v>1.54242833333333</v>
      </c>
      <c r="EB24" t="n">
        <v>15.61625</v>
      </c>
      <c r="EC24" t="n">
        <v>13.3953833333333</v>
      </c>
      <c r="ED24" t="n">
        <v>1499.97833333333</v>
      </c>
      <c r="EE24" t="n">
        <v>0.9729989999999999</v>
      </c>
      <c r="EF24" t="n">
        <v>0.0270007</v>
      </c>
      <c r="EG24" t="n">
        <v>0</v>
      </c>
      <c r="EH24" t="n">
        <v>235.7885</v>
      </c>
      <c r="EI24" t="n">
        <v>5.00064</v>
      </c>
      <c r="EJ24" t="n">
        <v>3799.36666666667</v>
      </c>
      <c r="EK24" t="n">
        <v>15439</v>
      </c>
      <c r="EL24" t="n">
        <v>41.25</v>
      </c>
      <c r="EM24" t="n">
        <v>41.937</v>
      </c>
      <c r="EN24" t="n">
        <v>41.562</v>
      </c>
      <c r="EO24" t="n">
        <v>41.562</v>
      </c>
      <c r="EP24" t="n">
        <v>42.7185</v>
      </c>
      <c r="EQ24" t="n">
        <v>1454.60833333333</v>
      </c>
      <c r="ER24" t="n">
        <v>40.37</v>
      </c>
      <c r="ES24" t="n">
        <v>0</v>
      </c>
      <c r="ET24" t="n">
        <v>2786.70000004768</v>
      </c>
      <c r="EU24" t="n">
        <v>0</v>
      </c>
      <c r="EV24" t="n">
        <v>235.75616</v>
      </c>
      <c r="EW24" t="n">
        <v>-0.221692303133039</v>
      </c>
      <c r="EX24" t="n">
        <v>-8.02692306114777</v>
      </c>
      <c r="EY24" t="n">
        <v>3799.9692</v>
      </c>
      <c r="EZ24" t="n">
        <v>15</v>
      </c>
      <c r="FA24" t="n">
        <v>1792300859.1</v>
      </c>
      <c r="FB24" t="inlineStr">
        <is>
          <t>14:20:59</t>
        </is>
      </c>
      <c r="FC24" t="n">
        <v>1792300859.1</v>
      </c>
      <c r="FD24" t="n">
        <v>1792300852.1</v>
      </c>
      <c r="FE24" t="n">
        <v>48</v>
      </c>
      <c r="FF24" t="n">
        <v>-0.075</v>
      </c>
      <c r="FG24" t="n">
        <v>0.003</v>
      </c>
      <c r="FH24" t="n">
        <v>1.006</v>
      </c>
      <c r="FI24" t="n">
        <v>-0.172</v>
      </c>
      <c r="FJ24" t="n">
        <v>700</v>
      </c>
      <c r="FK24" t="n">
        <v>15</v>
      </c>
      <c r="FL24" t="n">
        <v>0.2</v>
      </c>
      <c r="FM24" t="n">
        <v>0.04</v>
      </c>
      <c r="FN24" t="n">
        <v>19.6446515861722</v>
      </c>
      <c r="FO24" t="n">
        <v>0.174356180787294</v>
      </c>
      <c r="FP24" t="n">
        <v>0.0908378296897133</v>
      </c>
      <c r="FQ24" t="n">
        <v>1</v>
      </c>
      <c r="FR24" t="n">
        <v>-9.51836476190476</v>
      </c>
      <c r="FS24" t="n">
        <v>-0.0843864935065142</v>
      </c>
      <c r="FT24" t="n">
        <v>0.0392640918735884</v>
      </c>
      <c r="FU24" t="n">
        <v>1</v>
      </c>
      <c r="FV24" t="n">
        <v>235.8435</v>
      </c>
      <c r="FW24" t="n">
        <v>-0.891474405194982</v>
      </c>
      <c r="FX24" t="n">
        <v>0.211086161666414</v>
      </c>
      <c r="FY24" t="n">
        <v>1</v>
      </c>
      <c r="FZ24" t="n">
        <v>3</v>
      </c>
      <c r="GA24" t="n">
        <v>3</v>
      </c>
      <c r="GB24" t="inlineStr">
        <is>
          <t>3/3</t>
        </is>
      </c>
      <c r="GC24" t="n">
        <v>3.12317</v>
      </c>
      <c r="GD24" t="n">
        <v>2.76534</v>
      </c>
      <c r="GE24" t="n">
        <v>0.129618</v>
      </c>
      <c r="GF24" t="n">
        <v>0.134245</v>
      </c>
      <c r="GG24" t="n">
        <v>0.0936106</v>
      </c>
      <c r="GH24" t="n">
        <v>0.08742709999999999</v>
      </c>
      <c r="GI24" t="n">
        <v>16953.6</v>
      </c>
      <c r="GJ24" t="n">
        <v>25435.6</v>
      </c>
      <c r="GK24" t="n">
        <v>22760.7</v>
      </c>
      <c r="GL24" t="n">
        <v>30105.2</v>
      </c>
      <c r="GM24" t="n">
        <v>33841.7</v>
      </c>
      <c r="GN24" t="n">
        <v>34233.8</v>
      </c>
      <c r="GO24" t="n">
        <v>43065.8</v>
      </c>
      <c r="GP24" t="n">
        <v>42882.9</v>
      </c>
      <c r="GQ24" t="n">
        <v>1.97302</v>
      </c>
      <c r="GR24" t="n">
        <v>1.809</v>
      </c>
      <c r="GS24" t="n">
        <v>0.07034840000000001</v>
      </c>
      <c r="GT24" t="n">
        <v>0</v>
      </c>
      <c r="GU24" t="n">
        <v>23.8615</v>
      </c>
      <c r="GV24" t="n">
        <v>999.9</v>
      </c>
      <c r="GW24" t="n">
        <v>40.074</v>
      </c>
      <c r="GX24" t="n">
        <v>32.559</v>
      </c>
      <c r="GY24" t="n">
        <v>19.5844</v>
      </c>
      <c r="GZ24" t="n">
        <v>63.4015</v>
      </c>
      <c r="HA24" t="n">
        <v>36.3982</v>
      </c>
      <c r="HB24" t="n">
        <v>1</v>
      </c>
      <c r="HC24" t="n">
        <v>0.0683511</v>
      </c>
      <c r="HD24" t="n">
        <v>2.1116</v>
      </c>
      <c r="HE24" t="n">
        <v>20.2249</v>
      </c>
      <c r="HF24" t="n">
        <v>5.23481</v>
      </c>
      <c r="HG24" t="n">
        <v>11.962</v>
      </c>
      <c r="HH24" t="n">
        <v>4.9677</v>
      </c>
      <c r="HI24" t="n">
        <v>3.29508</v>
      </c>
      <c r="HJ24" t="n">
        <v>9999</v>
      </c>
      <c r="HK24" t="n">
        <v>9999</v>
      </c>
      <c r="HL24" t="n">
        <v>9999</v>
      </c>
      <c r="HM24" t="n">
        <v>999.9</v>
      </c>
      <c r="HN24" t="n">
        <v>4.96859</v>
      </c>
      <c r="HO24" t="n">
        <v>1.86248</v>
      </c>
      <c r="HP24" t="n">
        <v>1.864</v>
      </c>
      <c r="HQ24" t="n">
        <v>1.8659</v>
      </c>
      <c r="HR24" t="n">
        <v>1.86295</v>
      </c>
      <c r="HS24" t="n">
        <v>1.86661</v>
      </c>
      <c r="HT24" t="n">
        <v>1.8634</v>
      </c>
      <c r="HU24" t="n">
        <v>1.86533</v>
      </c>
      <c r="HV24" t="n">
        <v>0</v>
      </c>
      <c r="HW24" t="n">
        <v>0</v>
      </c>
      <c r="HX24" t="n">
        <v>0</v>
      </c>
      <c r="HY24" t="n">
        <v>0</v>
      </c>
      <c r="HZ24" t="inlineStr">
        <is>
          <t>11111111</t>
        </is>
      </c>
      <c r="IA24" t="inlineStr">
        <is>
          <t>oooooooo</t>
        </is>
      </c>
      <c r="IB24" t="inlineStr">
        <is>
          <t>on</t>
        </is>
      </c>
      <c r="IC24" t="inlineStr">
        <is>
          <t>on</t>
        </is>
      </c>
      <c r="ID24" t="inlineStr">
        <is>
          <t>on</t>
        </is>
      </c>
      <c r="IE24" t="inlineStr">
        <is>
          <t>on</t>
        </is>
      </c>
      <c r="IF24" t="n">
        <v>0</v>
      </c>
      <c r="IG24" t="n">
        <v>100</v>
      </c>
      <c r="IH24" t="n">
        <v>100</v>
      </c>
      <c r="II24" t="n">
        <v>1.001</v>
      </c>
      <c r="IJ24" t="n">
        <v>-0.08749999999999999</v>
      </c>
      <c r="IK24" t="n">
        <v>0.739960782720283</v>
      </c>
      <c r="IL24" t="n">
        <v>0.000216929631606078</v>
      </c>
      <c r="IM24" t="n">
        <v>2.72263024731635e-07</v>
      </c>
      <c r="IN24" t="n">
        <v>-5.43792051235154e-11</v>
      </c>
      <c r="IO24" t="n">
        <v>-0.00779907844955879</v>
      </c>
      <c r="IP24" t="n">
        <v>-0.0584433849545669</v>
      </c>
      <c r="IQ24" t="n">
        <v>0.00341568706061026</v>
      </c>
      <c r="IR24" t="n">
        <v>-2.10952612506686e-05</v>
      </c>
      <c r="IS24" t="n">
        <v>0</v>
      </c>
      <c r="IT24" t="n">
        <v>1734</v>
      </c>
      <c r="IU24" t="n">
        <v>2</v>
      </c>
      <c r="IV24" t="n">
        <v>19</v>
      </c>
      <c r="IW24" t="n">
        <v>1.2</v>
      </c>
      <c r="IX24" t="n">
        <v>1.3</v>
      </c>
      <c r="IY24" t="n">
        <v>1.63696</v>
      </c>
      <c r="IZ24" t="n">
        <v>2.56714</v>
      </c>
      <c r="JA24" t="n">
        <v>1.34644</v>
      </c>
      <c r="JB24" t="n">
        <v>2.26196</v>
      </c>
      <c r="JC24" t="n">
        <v>1.55029</v>
      </c>
      <c r="JD24" t="n">
        <v>2.71729</v>
      </c>
      <c r="JE24" t="n">
        <v>36.3871</v>
      </c>
      <c r="JF24" t="n">
        <v>14.9026</v>
      </c>
      <c r="JG24" t="n">
        <v>18</v>
      </c>
      <c r="JH24" t="n">
        <v>501.443</v>
      </c>
      <c r="JI24" t="n">
        <v>473.27</v>
      </c>
      <c r="JJ24" t="n">
        <v>21.9442</v>
      </c>
      <c r="JK24" t="n">
        <v>28.1015</v>
      </c>
      <c r="JL24" t="n">
        <v>30.0003</v>
      </c>
      <c r="JM24" t="n">
        <v>28.1035</v>
      </c>
      <c r="JN24" t="n">
        <v>28.1202</v>
      </c>
      <c r="JO24" t="n">
        <v>32.761</v>
      </c>
      <c r="JP24" t="n">
        <v>30.2896</v>
      </c>
      <c r="JQ24" t="n">
        <v>19.2907</v>
      </c>
      <c r="JR24" t="n">
        <v>21.9302</v>
      </c>
      <c r="JS24" t="n">
        <v>700</v>
      </c>
      <c r="JT24" t="n">
        <v>15.3298</v>
      </c>
      <c r="JU24" t="n">
        <v>101.688</v>
      </c>
      <c r="JV24" t="n">
        <v>97.37220000000001</v>
      </c>
    </row>
    <row r="25">
      <c r="A25" t="n">
        <v>9</v>
      </c>
      <c r="B25" t="n">
        <v>1792301065.1</v>
      </c>
      <c r="C25" t="n">
        <v>1070.09999990463</v>
      </c>
      <c r="D25" t="inlineStr">
        <is>
          <t>20261018 14:24:25</t>
        </is>
      </c>
      <c r="E25" t="inlineStr">
        <is>
          <t>14:24:25</t>
        </is>
      </c>
      <c r="F25" t="n">
        <v>5</v>
      </c>
      <c r="G25" t="n">
        <v>1792301061.6</v>
      </c>
      <c r="H25">
        <f>(I25)/1000</f>
        <v/>
      </c>
      <c r="I25">
        <f>1000*DI25*AG25*(DE25-DF25)/(100*CX25*(1000-AG25*DE25))</f>
        <v/>
      </c>
      <c r="J25">
        <f>DI25*AG25*(DD25-DC25*(1000-AG25*DF25)/(1000-AG25*DE25))/(100*CX25)</f>
        <v/>
      </c>
      <c r="K25">
        <f>DC25 - IF(AG25&gt;1, J25*CX25*100.0/(AI25), 0)</f>
        <v/>
      </c>
      <c r="L25">
        <f>((R25-H25/2)*K25-J25)/(R25+H25/2)</f>
        <v/>
      </c>
      <c r="M25">
        <f>L25*(DJ25+DK25)/1000.0</f>
        <v/>
      </c>
      <c r="N25">
        <f>(DC25 - IF(AG25&gt;1, J25*CX25*100.0/(AI25), 0))*(DJ25+DK25)/1000.0</f>
        <v/>
      </c>
      <c r="O25">
        <f>2.0/((1/Q25-1/P25)+SIGN(Q25)*SQRT((1/Q25-1/P25)*(1/Q25-1/P25) + 4*CY25/((CY25+1)*(CY25+1))*(2*1/Q25*1/P25-1/P25*1/P25)))</f>
        <v/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/>
      </c>
      <c r="Q25">
        <f>H25*(1000-(1000*0.61365*exp(17.502*U25/(240.97+U25))/(DJ25+DK25)+DE25)/2)/(1000*0.61365*exp(17.502*U25/(240.97+U25))/(DJ25+DK25)-DE25)</f>
        <v/>
      </c>
      <c r="R25">
        <f>1/((CY25+1)/(O25/1.6)+1/(P25/1.37)) + CY25/((CY25+1)/(O25/1.6) + CY25/(P25/1.37))</f>
        <v/>
      </c>
      <c r="S25">
        <f>(CT25*CW25)</f>
        <v/>
      </c>
      <c r="T25">
        <f>(DL25+(S25+2*0.95*5.67E-8*(((DL25+$B$7)+273)^4-(DL25+273)^4)-44100*H25)/(1.84*29.3*P25+8*0.95*5.67E-8*(DL25+273)^3))</f>
        <v/>
      </c>
      <c r="U25">
        <f>($C$7*DM25+$D$7*DN25+$E$7*T25)</f>
        <v/>
      </c>
      <c r="V25">
        <f>0.61365*exp(17.502*U25/(240.97+U25))</f>
        <v/>
      </c>
      <c r="W25">
        <f>(X25/Y25*100)</f>
        <v/>
      </c>
      <c r="X25">
        <f>DE25*(DJ25+DK25)/1000</f>
        <v/>
      </c>
      <c r="Y25">
        <f>0.61365*exp(17.502*DL25/(240.97+DL25))</f>
        <v/>
      </c>
      <c r="Z25">
        <f>(V25-DE25*(DJ25+DK25)/1000)</f>
        <v/>
      </c>
      <c r="AA25">
        <f>(-H25*44100)</f>
        <v/>
      </c>
      <c r="AB25">
        <f>2*29.3*P25*0.92*(DL25-U25)</f>
        <v/>
      </c>
      <c r="AC25">
        <f>2*0.95*5.67E-8*(((DL25+$B$7)+273)^4-(U25+273)^4)</f>
        <v/>
      </c>
      <c r="AD25">
        <f>S25+AC25+AA25+AB25</f>
        <v/>
      </c>
      <c r="AE25" t="n">
        <v>0</v>
      </c>
      <c r="AF25" t="n">
        <v>0</v>
      </c>
      <c r="AG25">
        <f>IF(AE25*$H$13&gt;=AI25,1.0,(AI25/(AI25-AE25*$H$13)))</f>
        <v/>
      </c>
      <c r="AH25">
        <f>(AG25-1)*100</f>
        <v/>
      </c>
      <c r="AI25">
        <f>MAX(0,($B$13+$C$13*DQ25)/(1+$D$13*DQ25)*DJ25/(DL25+273)*$E$13)</f>
        <v/>
      </c>
      <c r="AJ25" t="inlineStr">
        <is>
          <t>-</t>
        </is>
      </c>
      <c r="AK25" t="inlineStr">
        <is>
          <t>-</t>
        </is>
      </c>
      <c r="AL25" t="n">
        <v>0</v>
      </c>
      <c r="AM25" t="n">
        <v>0</v>
      </c>
      <c r="AN25">
        <f>1-AL25/AM25</f>
        <v/>
      </c>
      <c r="AO25" t="n">
        <v>0</v>
      </c>
      <c r="AP25" t="inlineStr">
        <is>
          <t>-</t>
        </is>
      </c>
      <c r="AQ25" t="inlineStr">
        <is>
          <t>-</t>
        </is>
      </c>
      <c r="AR25" t="n">
        <v>0</v>
      </c>
      <c r="AS25" t="n">
        <v>0</v>
      </c>
      <c r="AT25">
        <f>1-AR25/AS25</f>
        <v/>
      </c>
      <c r="AU25" t="n">
        <v>0.5</v>
      </c>
      <c r="AV25">
        <f>CU25</f>
        <v/>
      </c>
      <c r="AW25">
        <f>J25</f>
        <v/>
      </c>
      <c r="AX25">
        <f>AT25*AU25*AV25</f>
        <v/>
      </c>
      <c r="AY25">
        <f>(AW25-AO25)/AV25</f>
        <v/>
      </c>
      <c r="AZ25">
        <f>(AM25-AS25)/AS25</f>
        <v/>
      </c>
      <c r="BA25">
        <f>AL25/(AN25+AL25/AS25)</f>
        <v/>
      </c>
      <c r="BB25" t="inlineStr">
        <is>
          <t>-</t>
        </is>
      </c>
      <c r="BC25" t="n">
        <v>0</v>
      </c>
      <c r="BD25">
        <f>IF(BC25&lt;&gt;0, BC25, BA25)</f>
        <v/>
      </c>
      <c r="BE25">
        <f>1-BD25/AS25</f>
        <v/>
      </c>
      <c r="BF25">
        <f>(AS25-AR25)/(AS25-BD25)</f>
        <v/>
      </c>
      <c r="BG25">
        <f>(AM25-AS25)/(AM25-BD25)</f>
        <v/>
      </c>
      <c r="BH25">
        <f>(AS25-AR25)/(AS25-AL25)</f>
        <v/>
      </c>
      <c r="BI25">
        <f>(AM25-AS25)/(AM25-AL25)</f>
        <v/>
      </c>
      <c r="BJ25">
        <f>(BF25*BD25/AR25)</f>
        <v/>
      </c>
      <c r="BK25">
        <f>(1-BJ25)</f>
        <v/>
      </c>
      <c r="BL25" t="n">
        <v>1166</v>
      </c>
      <c r="BM25" t="n">
        <v>290</v>
      </c>
      <c r="BN25" t="n">
        <v>1275.63</v>
      </c>
      <c r="BO25" t="n">
        <v>145</v>
      </c>
      <c r="BP25" t="n">
        <v>8135.53</v>
      </c>
      <c r="BQ25" t="n">
        <v>1265.26</v>
      </c>
      <c r="BR25" t="n">
        <v>10.37</v>
      </c>
      <c r="BS25" t="n">
        <v>300</v>
      </c>
      <c r="BT25" t="n">
        <v>19.3</v>
      </c>
      <c r="BU25" t="n">
        <v>1332.45541265344</v>
      </c>
      <c r="BV25" t="n">
        <v>1.81080575079226</v>
      </c>
      <c r="BW25" t="n">
        <v>-54.6693079656955</v>
      </c>
      <c r="BX25" t="n">
        <v>1.31551974861254</v>
      </c>
      <c r="BY25" t="n">
        <v>0.984045586611453</v>
      </c>
      <c r="BZ25" t="n">
        <v>-0.00539105072302559</v>
      </c>
      <c r="CA25" t="n">
        <v>290</v>
      </c>
      <c r="CB25" t="n">
        <v>1248.3</v>
      </c>
      <c r="CC25" t="n">
        <v>615</v>
      </c>
      <c r="CD25" t="n">
        <v>8117.41</v>
      </c>
      <c r="CE25" t="n">
        <v>1265.11</v>
      </c>
      <c r="CF25" t="n">
        <v>-16.81</v>
      </c>
      <c r="CT25">
        <f>$B$11*DR25+$C$11*DS25+$F$11*ED25*(1-EG25)</f>
        <v/>
      </c>
      <c r="CU25">
        <f>CT25*CV25</f>
        <v/>
      </c>
      <c r="CV25">
        <f>($B$11*$D$9+$C$11*$D$9+$F$11*((EQ25+EI25)/MAX(EQ25+EI25+ER25, 0.1)*$I$9+ER25/MAX(EQ25+EI25+ER25, 0.1)*$J$9))/($B$11+$C$11+$F$11)</f>
        <v/>
      </c>
      <c r="CW25">
        <f>($B$11*$K$9+$C$11*$K$9+$F$11*((EQ25+EI25)/MAX(EQ25+EI25+ER25, 0.1)*$P$9+ER25/MAX(EQ25+EI25+ER25, 0.1)*$Q$9))/($B$11+$C$11+$F$11)</f>
        <v/>
      </c>
      <c r="CX25" t="n">
        <v>2</v>
      </c>
      <c r="CY25" t="n">
        <v>0.5</v>
      </c>
      <c r="CZ25" t="inlineStr">
        <is>
          <t>0: Broadleaf</t>
        </is>
      </c>
      <c r="DA25" t="n">
        <v>2</v>
      </c>
      <c r="DB25" t="n">
        <v>1792301061.6</v>
      </c>
      <c r="DC25" t="n">
        <v>989.690666666667</v>
      </c>
      <c r="DD25" t="n">
        <v>1000.038</v>
      </c>
      <c r="DE25" t="n">
        <v>17.6636166666667</v>
      </c>
      <c r="DF25" t="n">
        <v>15.3901833333333</v>
      </c>
      <c r="DG25" t="n">
        <v>988.714333333333</v>
      </c>
      <c r="DH25" t="n">
        <v>17.74645</v>
      </c>
      <c r="DI25" t="n">
        <v>500.0995</v>
      </c>
      <c r="DJ25" t="n">
        <v>100.847166666667</v>
      </c>
      <c r="DK25" t="n">
        <v>0.10001735</v>
      </c>
      <c r="DL25" t="n">
        <v>25.3000333333333</v>
      </c>
      <c r="DM25" t="n">
        <v>24.9936</v>
      </c>
      <c r="DN25" t="n">
        <v>999.9</v>
      </c>
      <c r="DO25" t="n">
        <v>0</v>
      </c>
      <c r="DP25" t="n">
        <v>0</v>
      </c>
      <c r="DQ25" t="n">
        <v>9992.59666666667</v>
      </c>
      <c r="DR25" t="n">
        <v>0</v>
      </c>
      <c r="DS25" t="n">
        <v>5.95705333333333</v>
      </c>
      <c r="DT25" t="n">
        <v>-10.3466333333333</v>
      </c>
      <c r="DU25" t="n">
        <v>1007.48666666667</v>
      </c>
      <c r="DV25" t="n">
        <v>1015.67</v>
      </c>
      <c r="DW25" t="n">
        <v>2.27343666666667</v>
      </c>
      <c r="DX25" t="n">
        <v>1000.038</v>
      </c>
      <c r="DY25" t="n">
        <v>15.3901833333333</v>
      </c>
      <c r="DZ25" t="n">
        <v>1.78132666666667</v>
      </c>
      <c r="EA25" t="n">
        <v>1.552055</v>
      </c>
      <c r="EB25" t="n">
        <v>15.6238666666667</v>
      </c>
      <c r="EC25" t="n">
        <v>13.49085</v>
      </c>
      <c r="ED25" t="n">
        <v>1499.985</v>
      </c>
      <c r="EE25" t="n">
        <v>0.9729989999999999</v>
      </c>
      <c r="EF25" t="n">
        <v>0.0270007</v>
      </c>
      <c r="EG25" t="n">
        <v>0</v>
      </c>
      <c r="EH25" t="n">
        <v>231.985666666667</v>
      </c>
      <c r="EI25" t="n">
        <v>5.00064</v>
      </c>
      <c r="EJ25" t="n">
        <v>3741.99166666667</v>
      </c>
      <c r="EK25" t="n">
        <v>15439.05</v>
      </c>
      <c r="EL25" t="n">
        <v>41.25</v>
      </c>
      <c r="EM25" t="n">
        <v>42</v>
      </c>
      <c r="EN25" t="n">
        <v>41.625</v>
      </c>
      <c r="EO25" t="n">
        <v>41.562</v>
      </c>
      <c r="EP25" t="n">
        <v>42.75</v>
      </c>
      <c r="EQ25" t="n">
        <v>1454.615</v>
      </c>
      <c r="ER25" t="n">
        <v>40.37</v>
      </c>
      <c r="ES25" t="n">
        <v>0</v>
      </c>
      <c r="ET25" t="n">
        <v>2921.10000014305</v>
      </c>
      <c r="EU25" t="n">
        <v>0</v>
      </c>
      <c r="EV25" t="n">
        <v>232.0466</v>
      </c>
      <c r="EW25" t="n">
        <v>1.1888461412874</v>
      </c>
      <c r="EX25" t="n">
        <v>5.4961538351703</v>
      </c>
      <c r="EY25" t="n">
        <v>3741.898</v>
      </c>
      <c r="EZ25" t="n">
        <v>15</v>
      </c>
      <c r="FA25" t="n">
        <v>1792300995.1</v>
      </c>
      <c r="FB25" t="inlineStr">
        <is>
          <t>14:23:15</t>
        </is>
      </c>
      <c r="FC25" t="n">
        <v>1792300995.1</v>
      </c>
      <c r="FD25" t="n">
        <v>1792300993.1</v>
      </c>
      <c r="FE25" t="n">
        <v>49</v>
      </c>
      <c r="FF25" t="n">
        <v>-0.19</v>
      </c>
      <c r="FG25" t="n">
        <v>0.004</v>
      </c>
      <c r="FH25" t="n">
        <v>0.983</v>
      </c>
      <c r="FI25" t="n">
        <v>-0.169</v>
      </c>
      <c r="FJ25" t="n">
        <v>1000</v>
      </c>
      <c r="FK25" t="n">
        <v>15</v>
      </c>
      <c r="FL25" t="n">
        <v>0.15</v>
      </c>
      <c r="FM25" t="n">
        <v>0.04</v>
      </c>
      <c r="FN25" t="n">
        <v>20.2042224917566</v>
      </c>
      <c r="FO25" t="n">
        <v>0.0910352361203714</v>
      </c>
      <c r="FP25" t="n">
        <v>0.11202501908945</v>
      </c>
      <c r="FQ25" t="n">
        <v>1</v>
      </c>
      <c r="FR25" t="n">
        <v>-10.37864</v>
      </c>
      <c r="FS25" t="n">
        <v>0.191972932330808</v>
      </c>
      <c r="FT25" t="n">
        <v>0.0521478513459565</v>
      </c>
      <c r="FU25" t="n">
        <v>1</v>
      </c>
      <c r="FV25" t="n">
        <v>232.052205882353</v>
      </c>
      <c r="FW25" t="n">
        <v>-0.329946533590101</v>
      </c>
      <c r="FX25" t="n">
        <v>0.202678211982581</v>
      </c>
      <c r="FY25" t="n">
        <v>1</v>
      </c>
      <c r="FZ25" t="n">
        <v>3</v>
      </c>
      <c r="GA25" t="n">
        <v>3</v>
      </c>
      <c r="GB25" t="inlineStr">
        <is>
          <t>3/3</t>
        </is>
      </c>
      <c r="GC25" t="n">
        <v>3.12307</v>
      </c>
      <c r="GD25" t="n">
        <v>2.76487</v>
      </c>
      <c r="GE25" t="n">
        <v>0.164054</v>
      </c>
      <c r="GF25" t="n">
        <v>0.169392</v>
      </c>
      <c r="GG25" t="n">
        <v>0.0936541</v>
      </c>
      <c r="GH25" t="n">
        <v>0.0878123</v>
      </c>
      <c r="GI25" t="n">
        <v>16281.1</v>
      </c>
      <c r="GJ25" t="n">
        <v>24401.4</v>
      </c>
      <c r="GK25" t="n">
        <v>22758.3</v>
      </c>
      <c r="GL25" t="n">
        <v>30103.4</v>
      </c>
      <c r="GM25" t="n">
        <v>33838.9</v>
      </c>
      <c r="GN25" t="n">
        <v>34219.5</v>
      </c>
      <c r="GO25" t="n">
        <v>43061.7</v>
      </c>
      <c r="GP25" t="n">
        <v>42880.1</v>
      </c>
      <c r="GQ25" t="n">
        <v>1.97257</v>
      </c>
      <c r="GR25" t="n">
        <v>1.80982</v>
      </c>
      <c r="GS25" t="n">
        <v>0.06936489999999999</v>
      </c>
      <c r="GT25" t="n">
        <v>0</v>
      </c>
      <c r="GU25" t="n">
        <v>23.8523</v>
      </c>
      <c r="GV25" t="n">
        <v>999.9</v>
      </c>
      <c r="GW25" t="n">
        <v>39.928</v>
      </c>
      <c r="GX25" t="n">
        <v>32.559</v>
      </c>
      <c r="GY25" t="n">
        <v>19.513</v>
      </c>
      <c r="GZ25" t="n">
        <v>63.2915</v>
      </c>
      <c r="HA25" t="n">
        <v>36.3421</v>
      </c>
      <c r="HB25" t="n">
        <v>1</v>
      </c>
      <c r="HC25" t="n">
        <v>0.0695833</v>
      </c>
      <c r="HD25" t="n">
        <v>1.98016</v>
      </c>
      <c r="HE25" t="n">
        <v>20.2263</v>
      </c>
      <c r="HF25" t="n">
        <v>5.23017</v>
      </c>
      <c r="HG25" t="n">
        <v>11.962</v>
      </c>
      <c r="HH25" t="n">
        <v>4.9692</v>
      </c>
      <c r="HI25" t="n">
        <v>3.29508</v>
      </c>
      <c r="HJ25" t="n">
        <v>9999</v>
      </c>
      <c r="HK25" t="n">
        <v>9999</v>
      </c>
      <c r="HL25" t="n">
        <v>9999</v>
      </c>
      <c r="HM25" t="n">
        <v>999.9</v>
      </c>
      <c r="HN25" t="n">
        <v>4.96859</v>
      </c>
      <c r="HO25" t="n">
        <v>1.86246</v>
      </c>
      <c r="HP25" t="n">
        <v>1.86398</v>
      </c>
      <c r="HQ25" t="n">
        <v>1.86585</v>
      </c>
      <c r="HR25" t="n">
        <v>1.86295</v>
      </c>
      <c r="HS25" t="n">
        <v>1.86661</v>
      </c>
      <c r="HT25" t="n">
        <v>1.86339</v>
      </c>
      <c r="HU25" t="n">
        <v>1.86524</v>
      </c>
      <c r="HV25" t="n">
        <v>0</v>
      </c>
      <c r="HW25" t="n">
        <v>0</v>
      </c>
      <c r="HX25" t="n">
        <v>0</v>
      </c>
      <c r="HY25" t="n">
        <v>0</v>
      </c>
      <c r="HZ25" t="inlineStr">
        <is>
          <t>11111111</t>
        </is>
      </c>
      <c r="IA25" t="inlineStr">
        <is>
          <t>oooooooo</t>
        </is>
      </c>
      <c r="IB25" t="inlineStr">
        <is>
          <t>on</t>
        </is>
      </c>
      <c r="IC25" t="inlineStr">
        <is>
          <t>on</t>
        </is>
      </c>
      <c r="ID25" t="inlineStr">
        <is>
          <t>on</t>
        </is>
      </c>
      <c r="IE25" t="inlineStr">
        <is>
          <t>on</t>
        </is>
      </c>
      <c r="IF25" t="n">
        <v>0</v>
      </c>
      <c r="IG25" t="n">
        <v>100</v>
      </c>
      <c r="IH25" t="n">
        <v>100</v>
      </c>
      <c r="II25" t="n">
        <v>0.977</v>
      </c>
      <c r="IJ25" t="n">
        <v>-0.08260000000000001</v>
      </c>
      <c r="IK25" t="n">
        <v>0.548589765572326</v>
      </c>
      <c r="IL25" t="n">
        <v>0.000216929631606078</v>
      </c>
      <c r="IM25" t="n">
        <v>2.72263024731635e-07</v>
      </c>
      <c r="IN25" t="n">
        <v>-5.43792051235154e-11</v>
      </c>
      <c r="IO25" t="n">
        <v>-0.00349416116023201</v>
      </c>
      <c r="IP25" t="n">
        <v>-0.0584433849545669</v>
      </c>
      <c r="IQ25" t="n">
        <v>0.00341568706061026</v>
      </c>
      <c r="IR25" t="n">
        <v>-2.10952612506686e-05</v>
      </c>
      <c r="IS25" t="n">
        <v>0</v>
      </c>
      <c r="IT25" t="n">
        <v>1734</v>
      </c>
      <c r="IU25" t="n">
        <v>2</v>
      </c>
      <c r="IV25" t="n">
        <v>19</v>
      </c>
      <c r="IW25" t="n">
        <v>1.2</v>
      </c>
      <c r="IX25" t="n">
        <v>1.2</v>
      </c>
      <c r="IY25" t="n">
        <v>2.17773</v>
      </c>
      <c r="IZ25" t="n">
        <v>2.55493</v>
      </c>
      <c r="JA25" t="n">
        <v>1.34644</v>
      </c>
      <c r="JB25" t="n">
        <v>2.26196</v>
      </c>
      <c r="JC25" t="n">
        <v>1.55029</v>
      </c>
      <c r="JD25" t="n">
        <v>2.70874</v>
      </c>
      <c r="JE25" t="n">
        <v>36.3871</v>
      </c>
      <c r="JF25" t="n">
        <v>14.8763</v>
      </c>
      <c r="JG25" t="n">
        <v>18</v>
      </c>
      <c r="JH25" t="n">
        <v>501.244</v>
      </c>
      <c r="JI25" t="n">
        <v>473.902</v>
      </c>
      <c r="JJ25" t="n">
        <v>21.8956</v>
      </c>
      <c r="JK25" t="n">
        <v>28.1231</v>
      </c>
      <c r="JL25" t="n">
        <v>30</v>
      </c>
      <c r="JM25" t="n">
        <v>28.113</v>
      </c>
      <c r="JN25" t="n">
        <v>28.1273</v>
      </c>
      <c r="JO25" t="n">
        <v>43.5868</v>
      </c>
      <c r="JP25" t="n">
        <v>29.4881</v>
      </c>
      <c r="JQ25" t="n">
        <v>18.6068</v>
      </c>
      <c r="JR25" t="n">
        <v>21.8955</v>
      </c>
      <c r="JS25" t="n">
        <v>1000</v>
      </c>
      <c r="JT25" t="n">
        <v>15.3622</v>
      </c>
      <c r="JU25" t="n">
        <v>101.678</v>
      </c>
      <c r="JV25" t="n">
        <v>97.366</v>
      </c>
    </row>
    <row r="26">
      <c r="A26" t="n">
        <v>10</v>
      </c>
      <c r="B26" t="n">
        <v>1792301192.1</v>
      </c>
      <c r="C26" t="n">
        <v>1197.09999990463</v>
      </c>
      <c r="D26" t="inlineStr">
        <is>
          <t>20261018 14:26:32</t>
        </is>
      </c>
      <c r="E26" t="inlineStr">
        <is>
          <t>14:26:32</t>
        </is>
      </c>
      <c r="F26" t="n">
        <v>5</v>
      </c>
      <c r="G26" t="n">
        <v>1792301188.6</v>
      </c>
      <c r="H26">
        <f>(I26)/1000</f>
        <v/>
      </c>
      <c r="I26">
        <f>1000*DI26*AG26*(DE26-DF26)/(100*CX26*(1000-AG26*DE26))</f>
        <v/>
      </c>
      <c r="J26">
        <f>DI26*AG26*(DD26-DC26*(1000-AG26*DF26)/(1000-AG26*DE26))/(100*CX26)</f>
        <v/>
      </c>
      <c r="K26">
        <f>DC26 - IF(AG26&gt;1, J26*CX26*100.0/(AI26), 0)</f>
        <v/>
      </c>
      <c r="L26">
        <f>((R26-H26/2)*K26-J26)/(R26+H26/2)</f>
        <v/>
      </c>
      <c r="M26">
        <f>L26*(DJ26+DK26)/1000.0</f>
        <v/>
      </c>
      <c r="N26">
        <f>(DC26 - IF(AG26&gt;1, J26*CX26*100.0/(AI26), 0))*(DJ26+DK26)/1000.0</f>
        <v/>
      </c>
      <c r="O26">
        <f>2.0/((1/Q26-1/P26)+SIGN(Q26)*SQRT((1/Q26-1/P26)*(1/Q26-1/P26) + 4*CY26/((CY26+1)*(CY26+1))*(2*1/Q26*1/P26-1/P26*1/P26)))</f>
        <v/>
      </c>
      <c r="P26">
        <f>IF(LEFT(CZ26,1)&lt;&gt;"0",IF(LEFT(CZ26,1)="1",3.0,DA26),$D$5+$E$5*(DQ26*DJ26/($K$5*1000))+$F$5*(DQ26*DJ26/($K$5*1000))*MAX(MIN(CX26,$J$5),$I$5)*MAX(MIN(CX26,$J$5),$I$5)+$G$5*MAX(MIN(CX26,$J$5),$I$5)*(DQ26*DJ26/($K$5*1000))+$H$5*(DQ26*DJ26/($K$5*1000))*(DQ26*DJ26/($K$5*1000)))</f>
        <v/>
      </c>
      <c r="Q26">
        <f>H26*(1000-(1000*0.61365*exp(17.502*U26/(240.97+U26))/(DJ26+DK26)+DE26)/2)/(1000*0.61365*exp(17.502*U26/(240.97+U26))/(DJ26+DK26)-DE26)</f>
        <v/>
      </c>
      <c r="R26">
        <f>1/((CY26+1)/(O26/1.6)+1/(P26/1.37)) + CY26/((CY26+1)/(O26/1.6) + CY26/(P26/1.37))</f>
        <v/>
      </c>
      <c r="S26">
        <f>(CT26*CW26)</f>
        <v/>
      </c>
      <c r="T26">
        <f>(DL26+(S26+2*0.95*5.67E-8*(((DL26+$B$7)+273)^4-(DL26+273)^4)-44100*H26)/(1.84*29.3*P26+8*0.95*5.67E-8*(DL26+273)^3))</f>
        <v/>
      </c>
      <c r="U26">
        <f>($C$7*DM26+$D$7*DN26+$E$7*T26)</f>
        <v/>
      </c>
      <c r="V26">
        <f>0.61365*exp(17.502*U26/(240.97+U26))</f>
        <v/>
      </c>
      <c r="W26">
        <f>(X26/Y26*100)</f>
        <v/>
      </c>
      <c r="X26">
        <f>DE26*(DJ26+DK26)/1000</f>
        <v/>
      </c>
      <c r="Y26">
        <f>0.61365*exp(17.502*DL26/(240.97+DL26))</f>
        <v/>
      </c>
      <c r="Z26">
        <f>(V26-DE26*(DJ26+DK26)/1000)</f>
        <v/>
      </c>
      <c r="AA26">
        <f>(-H26*44100)</f>
        <v/>
      </c>
      <c r="AB26">
        <f>2*29.3*P26*0.92*(DL26-U26)</f>
        <v/>
      </c>
      <c r="AC26">
        <f>2*0.95*5.67E-8*(((DL26+$B$7)+273)^4-(U26+273)^4)</f>
        <v/>
      </c>
      <c r="AD26">
        <f>S26+AC26+AA26+AB26</f>
        <v/>
      </c>
      <c r="AE26" t="n">
        <v>0</v>
      </c>
      <c r="AF26" t="n">
        <v>0</v>
      </c>
      <c r="AG26">
        <f>IF(AE26*$H$13&gt;=AI26,1.0,(AI26/(AI26-AE26*$H$13)))</f>
        <v/>
      </c>
      <c r="AH26">
        <f>(AG26-1)*100</f>
        <v/>
      </c>
      <c r="AI26">
        <f>MAX(0,($B$13+$C$13*DQ26)/(1+$D$13*DQ26)*DJ26/(DL26+273)*$E$13)</f>
        <v/>
      </c>
      <c r="AJ26" t="inlineStr">
        <is>
          <t>-</t>
        </is>
      </c>
      <c r="AK26" t="inlineStr">
        <is>
          <t>-</t>
        </is>
      </c>
      <c r="AL26" t="n">
        <v>0</v>
      </c>
      <c r="AM26" t="n">
        <v>0</v>
      </c>
      <c r="AN26">
        <f>1-AL26/AM26</f>
        <v/>
      </c>
      <c r="AO26" t="n">
        <v>0</v>
      </c>
      <c r="AP26" t="inlineStr">
        <is>
          <t>-</t>
        </is>
      </c>
      <c r="AQ26" t="inlineStr">
        <is>
          <t>-</t>
        </is>
      </c>
      <c r="AR26" t="n">
        <v>0</v>
      </c>
      <c r="AS26" t="n">
        <v>0</v>
      </c>
      <c r="AT26">
        <f>1-AR26/AS26</f>
        <v/>
      </c>
      <c r="AU26" t="n">
        <v>0.5</v>
      </c>
      <c r="AV26">
        <f>CU26</f>
        <v/>
      </c>
      <c r="AW26">
        <f>J26</f>
        <v/>
      </c>
      <c r="AX26">
        <f>AT26*AU26*AV26</f>
        <v/>
      </c>
      <c r="AY26">
        <f>(AW26-AO26)/AV26</f>
        <v/>
      </c>
      <c r="AZ26">
        <f>(AM26-AS26)/AS26</f>
        <v/>
      </c>
      <c r="BA26">
        <f>AL26/(AN26+AL26/AS26)</f>
        <v/>
      </c>
      <c r="BB26" t="inlineStr">
        <is>
          <t>-</t>
        </is>
      </c>
      <c r="BC26" t="n">
        <v>0</v>
      </c>
      <c r="BD26">
        <f>IF(BC26&lt;&gt;0, BC26, BA26)</f>
        <v/>
      </c>
      <c r="BE26">
        <f>1-BD26/AS26</f>
        <v/>
      </c>
      <c r="BF26">
        <f>(AS26-AR26)/(AS26-BD26)</f>
        <v/>
      </c>
      <c r="BG26">
        <f>(AM26-AS26)/(AM26-BD26)</f>
        <v/>
      </c>
      <c r="BH26">
        <f>(AS26-AR26)/(AS26-AL26)</f>
        <v/>
      </c>
      <c r="BI26">
        <f>(AM26-AS26)/(AM26-AL26)</f>
        <v/>
      </c>
      <c r="BJ26">
        <f>(BF26*BD26/AR26)</f>
        <v/>
      </c>
      <c r="BK26">
        <f>(1-BJ26)</f>
        <v/>
      </c>
      <c r="BL26" t="n">
        <v>1166</v>
      </c>
      <c r="BM26" t="n">
        <v>290</v>
      </c>
      <c r="BN26" t="n">
        <v>1275.63</v>
      </c>
      <c r="BO26" t="n">
        <v>145</v>
      </c>
      <c r="BP26" t="n">
        <v>8135.53</v>
      </c>
      <c r="BQ26" t="n">
        <v>1265.26</v>
      </c>
      <c r="BR26" t="n">
        <v>10.37</v>
      </c>
      <c r="BS26" t="n">
        <v>300</v>
      </c>
      <c r="BT26" t="n">
        <v>19.3</v>
      </c>
      <c r="BU26" t="n">
        <v>1332.45541265344</v>
      </c>
      <c r="BV26" t="n">
        <v>1.81080575079226</v>
      </c>
      <c r="BW26" t="n">
        <v>-54.6693079656955</v>
      </c>
      <c r="BX26" t="n">
        <v>1.31551974861254</v>
      </c>
      <c r="BY26" t="n">
        <v>0.984045586611453</v>
      </c>
      <c r="BZ26" t="n">
        <v>-0.00539105072302559</v>
      </c>
      <c r="CA26" t="n">
        <v>290</v>
      </c>
      <c r="CB26" t="n">
        <v>1248.3</v>
      </c>
      <c r="CC26" t="n">
        <v>615</v>
      </c>
      <c r="CD26" t="n">
        <v>8117.41</v>
      </c>
      <c r="CE26" t="n">
        <v>1265.11</v>
      </c>
      <c r="CF26" t="n">
        <v>-16.81</v>
      </c>
      <c r="CT26">
        <f>$B$11*DR26+$C$11*DS26+$F$11*ED26*(1-EG26)</f>
        <v/>
      </c>
      <c r="CU26">
        <f>CT26*CV26</f>
        <v/>
      </c>
      <c r="CV26">
        <f>($B$11*$D$9+$C$11*$D$9+$F$11*((EQ26+EI26)/MAX(EQ26+EI26+ER26, 0.1)*$I$9+ER26/MAX(EQ26+EI26+ER26, 0.1)*$J$9))/($B$11+$C$11+$F$11)</f>
        <v/>
      </c>
      <c r="CW26">
        <f>($B$11*$K$9+$C$11*$K$9+$F$11*((EQ26+EI26)/MAX(EQ26+EI26+ER26, 0.1)*$P$9+ER26/MAX(EQ26+EI26+ER26, 0.1)*$Q$9))/($B$11+$C$11+$F$11)</f>
        <v/>
      </c>
      <c r="CX26" t="n">
        <v>2</v>
      </c>
      <c r="CY26" t="n">
        <v>0.5</v>
      </c>
      <c r="CZ26" t="inlineStr">
        <is>
          <t>0: Broadleaf</t>
        </is>
      </c>
      <c r="DA26" t="n">
        <v>2</v>
      </c>
      <c r="DB26" t="n">
        <v>1792301188.6</v>
      </c>
      <c r="DC26" t="n">
        <v>1188.885</v>
      </c>
      <c r="DD26" t="n">
        <v>1199.96333333333</v>
      </c>
      <c r="DE26" t="n">
        <v>17.6697666666667</v>
      </c>
      <c r="DF26" t="n">
        <v>15.4300666666667</v>
      </c>
      <c r="DG26" t="n">
        <v>1187.315</v>
      </c>
      <c r="DH26" t="n">
        <v>17.7535666666667</v>
      </c>
      <c r="DI26" t="n">
        <v>499.987833333333</v>
      </c>
      <c r="DJ26" t="n">
        <v>100.839333333333</v>
      </c>
      <c r="DK26" t="n">
        <v>0.100020566666667</v>
      </c>
      <c r="DL26" t="n">
        <v>25.2592666666667</v>
      </c>
      <c r="DM26" t="n">
        <v>25.0123166666667</v>
      </c>
      <c r="DN26" t="n">
        <v>999.9</v>
      </c>
      <c r="DO26" t="n">
        <v>0</v>
      </c>
      <c r="DP26" t="n">
        <v>0</v>
      </c>
      <c r="DQ26" t="n">
        <v>9995.001666666671</v>
      </c>
      <c r="DR26" t="n">
        <v>0</v>
      </c>
      <c r="DS26" t="n">
        <v>5.94705</v>
      </c>
      <c r="DT26" t="n">
        <v>-11.0775166666667</v>
      </c>
      <c r="DU26" t="n">
        <v>1210.27</v>
      </c>
      <c r="DV26" t="n">
        <v>1218.76666666667</v>
      </c>
      <c r="DW26" t="n">
        <v>2.23967666666667</v>
      </c>
      <c r="DX26" t="n">
        <v>1199.96333333333</v>
      </c>
      <c r="DY26" t="n">
        <v>15.4300666666667</v>
      </c>
      <c r="DZ26" t="n">
        <v>1.78180833333333</v>
      </c>
      <c r="EA26" t="n">
        <v>1.55596166666667</v>
      </c>
      <c r="EB26" t="n">
        <v>15.6281</v>
      </c>
      <c r="EC26" t="n">
        <v>13.5294166666667</v>
      </c>
      <c r="ED26" t="n">
        <v>1499.99</v>
      </c>
      <c r="EE26" t="n">
        <v>0.9729989999999999</v>
      </c>
      <c r="EF26" t="n">
        <v>0.0270007</v>
      </c>
      <c r="EG26" t="n">
        <v>0</v>
      </c>
      <c r="EH26" t="n">
        <v>232.274</v>
      </c>
      <c r="EI26" t="n">
        <v>5.00064</v>
      </c>
      <c r="EJ26" t="n">
        <v>3744.355</v>
      </c>
      <c r="EK26" t="n">
        <v>15439.1166666667</v>
      </c>
      <c r="EL26" t="n">
        <v>41.2603333333333</v>
      </c>
      <c r="EM26" t="n">
        <v>41.979</v>
      </c>
      <c r="EN26" t="n">
        <v>41.625</v>
      </c>
      <c r="EO26" t="n">
        <v>41.583</v>
      </c>
      <c r="EP26" t="n">
        <v>42.75</v>
      </c>
      <c r="EQ26" t="n">
        <v>1454.62</v>
      </c>
      <c r="ER26" t="n">
        <v>40.37</v>
      </c>
      <c r="ES26" t="n">
        <v>0</v>
      </c>
      <c r="ET26" t="n">
        <v>3047.70000004768</v>
      </c>
      <c r="EU26" t="n">
        <v>0</v>
      </c>
      <c r="EV26" t="n">
        <v>232.177346153846</v>
      </c>
      <c r="EW26" t="n">
        <v>0.969059817162332</v>
      </c>
      <c r="EX26" t="n">
        <v>10.9309401468096</v>
      </c>
      <c r="EY26" t="n">
        <v>3743.79807692308</v>
      </c>
      <c r="EZ26" t="n">
        <v>15</v>
      </c>
      <c r="FA26" t="n">
        <v>1792301136.1</v>
      </c>
      <c r="FB26" t="inlineStr">
        <is>
          <t>14:25:36</t>
        </is>
      </c>
      <c r="FC26" t="n">
        <v>1792301136.1</v>
      </c>
      <c r="FD26" t="n">
        <v>1792301122.1</v>
      </c>
      <c r="FE26" t="n">
        <v>50</v>
      </c>
      <c r="FF26" t="n">
        <v>0.472</v>
      </c>
      <c r="FG26" t="n">
        <v>-0.001</v>
      </c>
      <c r="FH26" t="n">
        <v>1.577</v>
      </c>
      <c r="FI26" t="n">
        <v>-0.168</v>
      </c>
      <c r="FJ26" t="n">
        <v>1200</v>
      </c>
      <c r="FK26" t="n">
        <v>15</v>
      </c>
      <c r="FL26" t="n">
        <v>0.13</v>
      </c>
      <c r="FM26" t="n">
        <v>0.02</v>
      </c>
      <c r="FN26" t="n">
        <v>20.8709587785789</v>
      </c>
      <c r="FO26" t="n">
        <v>0.475388090996416</v>
      </c>
      <c r="FP26" t="n">
        <v>0.2386409341524</v>
      </c>
      <c r="FQ26" t="n">
        <v>1</v>
      </c>
      <c r="FR26" t="n">
        <v>-11.023525</v>
      </c>
      <c r="FS26" t="n">
        <v>-0.480338345864651</v>
      </c>
      <c r="FT26" t="n">
        <v>0.09905653877962819</v>
      </c>
      <c r="FU26" t="n">
        <v>1</v>
      </c>
      <c r="FV26" t="n">
        <v>232.141264705882</v>
      </c>
      <c r="FW26" t="n">
        <v>0.604629482146266</v>
      </c>
      <c r="FX26" t="n">
        <v>0.208471229334428</v>
      </c>
      <c r="FY26" t="n">
        <v>1</v>
      </c>
      <c r="FZ26" t="n">
        <v>3</v>
      </c>
      <c r="GA26" t="n">
        <v>3</v>
      </c>
      <c r="GB26" t="inlineStr">
        <is>
          <t>3/3</t>
        </is>
      </c>
      <c r="GC26" t="n">
        <v>3.12365</v>
      </c>
      <c r="GD26" t="n">
        <v>2.76549</v>
      </c>
      <c r="GE26" t="n">
        <v>0.183737</v>
      </c>
      <c r="GF26" t="n">
        <v>0.189576</v>
      </c>
      <c r="GG26" t="n">
        <v>0.0936076</v>
      </c>
      <c r="GH26" t="n">
        <v>0.0878642</v>
      </c>
      <c r="GI26" t="n">
        <v>15898</v>
      </c>
      <c r="GJ26" t="n">
        <v>23809.7</v>
      </c>
      <c r="GK26" t="n">
        <v>22758.7</v>
      </c>
      <c r="GL26" t="n">
        <v>30104.9</v>
      </c>
      <c r="GM26" t="n">
        <v>33842.9</v>
      </c>
      <c r="GN26" t="n">
        <v>34220.9</v>
      </c>
      <c r="GO26" t="n">
        <v>43062.9</v>
      </c>
      <c r="GP26" t="n">
        <v>42882.6</v>
      </c>
      <c r="GQ26" t="n">
        <v>1.97283</v>
      </c>
      <c r="GR26" t="n">
        <v>1.81025</v>
      </c>
      <c r="GS26" t="n">
        <v>0.0704825</v>
      </c>
      <c r="GT26" t="n">
        <v>0</v>
      </c>
      <c r="GU26" t="n">
        <v>23.8513</v>
      </c>
      <c r="GV26" t="n">
        <v>999.9</v>
      </c>
      <c r="GW26" t="n">
        <v>39.788</v>
      </c>
      <c r="GX26" t="n">
        <v>32.559</v>
      </c>
      <c r="GY26" t="n">
        <v>19.4447</v>
      </c>
      <c r="GZ26" t="n">
        <v>63.2816</v>
      </c>
      <c r="HA26" t="n">
        <v>35.605</v>
      </c>
      <c r="HB26" t="n">
        <v>1</v>
      </c>
      <c r="HC26" t="n">
        <v>0.0691387</v>
      </c>
      <c r="HD26" t="n">
        <v>2.06158</v>
      </c>
      <c r="HE26" t="n">
        <v>20.2257</v>
      </c>
      <c r="HF26" t="n">
        <v>5.23406</v>
      </c>
      <c r="HG26" t="n">
        <v>11.962</v>
      </c>
      <c r="HH26" t="n">
        <v>4.9691</v>
      </c>
      <c r="HI26" t="n">
        <v>3.29515</v>
      </c>
      <c r="HJ26" t="n">
        <v>9999</v>
      </c>
      <c r="HK26" t="n">
        <v>9999</v>
      </c>
      <c r="HL26" t="n">
        <v>9999</v>
      </c>
      <c r="HM26" t="n">
        <v>999.9</v>
      </c>
      <c r="HN26" t="n">
        <v>4.9686</v>
      </c>
      <c r="HO26" t="n">
        <v>1.86247</v>
      </c>
      <c r="HP26" t="n">
        <v>1.86397</v>
      </c>
      <c r="HQ26" t="n">
        <v>1.86586</v>
      </c>
      <c r="HR26" t="n">
        <v>1.86295</v>
      </c>
      <c r="HS26" t="n">
        <v>1.86661</v>
      </c>
      <c r="HT26" t="n">
        <v>1.8634</v>
      </c>
      <c r="HU26" t="n">
        <v>1.86527</v>
      </c>
      <c r="HV26" t="n">
        <v>0</v>
      </c>
      <c r="HW26" t="n">
        <v>0</v>
      </c>
      <c r="HX26" t="n">
        <v>0</v>
      </c>
      <c r="HY26" t="n">
        <v>0</v>
      </c>
      <c r="HZ26" t="inlineStr">
        <is>
          <t>11111111</t>
        </is>
      </c>
      <c r="IA26" t="inlineStr">
        <is>
          <t>oooooooo</t>
        </is>
      </c>
      <c r="IB26" t="inlineStr">
        <is>
          <t>on</t>
        </is>
      </c>
      <c r="IC26" t="inlineStr">
        <is>
          <t>on</t>
        </is>
      </c>
      <c r="ID26" t="inlineStr">
        <is>
          <t>on</t>
        </is>
      </c>
      <c r="IE26" t="inlineStr">
        <is>
          <t>on</t>
        </is>
      </c>
      <c r="IF26" t="n">
        <v>0</v>
      </c>
      <c r="IG26" t="n">
        <v>100</v>
      </c>
      <c r="IH26" t="n">
        <v>100</v>
      </c>
      <c r="II26" t="n">
        <v>1.57</v>
      </c>
      <c r="IJ26" t="n">
        <v>-0.0843</v>
      </c>
      <c r="IK26" t="n">
        <v>1.01936807907868</v>
      </c>
      <c r="IL26" t="n">
        <v>0.000216929631606078</v>
      </c>
      <c r="IM26" t="n">
        <v>2.72263024731635e-07</v>
      </c>
      <c r="IN26" t="n">
        <v>-5.43792051235154e-11</v>
      </c>
      <c r="IO26" t="n">
        <v>-0.00476584104978944</v>
      </c>
      <c r="IP26" t="n">
        <v>-0.0584433849545669</v>
      </c>
      <c r="IQ26" t="n">
        <v>0.00341568706061026</v>
      </c>
      <c r="IR26" t="n">
        <v>-2.10952612506686e-05</v>
      </c>
      <c r="IS26" t="n">
        <v>0</v>
      </c>
      <c r="IT26" t="n">
        <v>1734</v>
      </c>
      <c r="IU26" t="n">
        <v>2</v>
      </c>
      <c r="IV26" t="n">
        <v>19</v>
      </c>
      <c r="IW26" t="n">
        <v>0.9</v>
      </c>
      <c r="IX26" t="n">
        <v>1.2</v>
      </c>
      <c r="IY26" t="n">
        <v>2.51953</v>
      </c>
      <c r="IZ26" t="n">
        <v>2.54761</v>
      </c>
      <c r="JA26" t="n">
        <v>1.34644</v>
      </c>
      <c r="JB26" t="n">
        <v>2.26196</v>
      </c>
      <c r="JC26" t="n">
        <v>1.55029</v>
      </c>
      <c r="JD26" t="n">
        <v>2.70996</v>
      </c>
      <c r="JE26" t="n">
        <v>36.3871</v>
      </c>
      <c r="JF26" t="n">
        <v>14.85</v>
      </c>
      <c r="JG26" t="n">
        <v>18</v>
      </c>
      <c r="JH26" t="n">
        <v>501.422</v>
      </c>
      <c r="JI26" t="n">
        <v>474.196</v>
      </c>
      <c r="JJ26" t="n">
        <v>21.7899</v>
      </c>
      <c r="JK26" t="n">
        <v>28.1302</v>
      </c>
      <c r="JL26" t="n">
        <v>29.9999</v>
      </c>
      <c r="JM26" t="n">
        <v>28.1154</v>
      </c>
      <c r="JN26" t="n">
        <v>28.1273</v>
      </c>
      <c r="JO26" t="n">
        <v>50.4305</v>
      </c>
      <c r="JP26" t="n">
        <v>28.787</v>
      </c>
      <c r="JQ26" t="n">
        <v>17.8384</v>
      </c>
      <c r="JR26" t="n">
        <v>21.7761</v>
      </c>
      <c r="JS26" t="n">
        <v>1200</v>
      </c>
      <c r="JT26" t="n">
        <v>15.4401</v>
      </c>
      <c r="JU26" t="n">
        <v>101.681</v>
      </c>
      <c r="JV26" t="n">
        <v>97.37139999999999</v>
      </c>
    </row>
    <row r="27">
      <c r="A27" t="n">
        <v>11</v>
      </c>
      <c r="B27" t="n">
        <v>1792301313.1</v>
      </c>
      <c r="C27" t="n">
        <v>1318.09999990463</v>
      </c>
      <c r="D27" t="inlineStr">
        <is>
          <t>20261018 14:28:33</t>
        </is>
      </c>
      <c r="E27" t="inlineStr">
        <is>
          <t>14:28:33</t>
        </is>
      </c>
      <c r="F27" t="n">
        <v>5</v>
      </c>
      <c r="G27" t="n">
        <v>1792301309.6</v>
      </c>
      <c r="H27">
        <f>(I27)/1000</f>
        <v/>
      </c>
      <c r="I27">
        <f>1000*DI27*AG27*(DE27-DF27)/(100*CX27*(1000-AG27*DE27))</f>
        <v/>
      </c>
      <c r="J27">
        <f>DI27*AG27*(DD27-DC27*(1000-AG27*DF27)/(1000-AG27*DE27))/(100*CX27)</f>
        <v/>
      </c>
      <c r="K27">
        <f>DC27 - IF(AG27&gt;1, J27*CX27*100.0/(AI27), 0)</f>
        <v/>
      </c>
      <c r="L27">
        <f>((R27-H27/2)*K27-J27)/(R27+H27/2)</f>
        <v/>
      </c>
      <c r="M27">
        <f>L27*(DJ27+DK27)/1000.0</f>
        <v/>
      </c>
      <c r="N27">
        <f>(DC27 - IF(AG27&gt;1, J27*CX27*100.0/(AI27), 0))*(DJ27+DK27)/1000.0</f>
        <v/>
      </c>
      <c r="O27">
        <f>2.0/((1/Q27-1/P27)+SIGN(Q27)*SQRT((1/Q27-1/P27)*(1/Q27-1/P27) + 4*CY27/((CY27+1)*(CY27+1))*(2*1/Q27*1/P27-1/P27*1/P27)))</f>
        <v/>
      </c>
      <c r="P27">
        <f>IF(LEFT(CZ27,1)&lt;&gt;"0",IF(LEFT(CZ27,1)="1",3.0,DA27),$D$5+$E$5*(DQ27*DJ27/($K$5*1000))+$F$5*(DQ27*DJ27/($K$5*1000))*MAX(MIN(CX27,$J$5),$I$5)*MAX(MIN(CX27,$J$5),$I$5)+$G$5*MAX(MIN(CX27,$J$5),$I$5)*(DQ27*DJ27/($K$5*1000))+$H$5*(DQ27*DJ27/($K$5*1000))*(DQ27*DJ27/($K$5*1000)))</f>
        <v/>
      </c>
      <c r="Q27">
        <f>H27*(1000-(1000*0.61365*exp(17.502*U27/(240.97+U27))/(DJ27+DK27)+DE27)/2)/(1000*0.61365*exp(17.502*U27/(240.97+U27))/(DJ27+DK27)-DE27)</f>
        <v/>
      </c>
      <c r="R27">
        <f>1/((CY27+1)/(O27/1.6)+1/(P27/1.37)) + CY27/((CY27+1)/(O27/1.6) + CY27/(P27/1.37))</f>
        <v/>
      </c>
      <c r="S27">
        <f>(CT27*CW27)</f>
        <v/>
      </c>
      <c r="T27">
        <f>(DL27+(S27+2*0.95*5.67E-8*(((DL27+$B$7)+273)^4-(DL27+273)^4)-44100*H27)/(1.84*29.3*P27+8*0.95*5.67E-8*(DL27+273)^3))</f>
        <v/>
      </c>
      <c r="U27">
        <f>($C$7*DM27+$D$7*DN27+$E$7*T27)</f>
        <v/>
      </c>
      <c r="V27">
        <f>0.61365*exp(17.502*U27/(240.97+U27))</f>
        <v/>
      </c>
      <c r="W27">
        <f>(X27/Y27*100)</f>
        <v/>
      </c>
      <c r="X27">
        <f>DE27*(DJ27+DK27)/1000</f>
        <v/>
      </c>
      <c r="Y27">
        <f>0.61365*exp(17.502*DL27/(240.97+DL27))</f>
        <v/>
      </c>
      <c r="Z27">
        <f>(V27-DE27*(DJ27+DK27)/1000)</f>
        <v/>
      </c>
      <c r="AA27">
        <f>(-H27*44100)</f>
        <v/>
      </c>
      <c r="AB27">
        <f>2*29.3*P27*0.92*(DL27-U27)</f>
        <v/>
      </c>
      <c r="AC27">
        <f>2*0.95*5.67E-8*(((DL27+$B$7)+273)^4-(U27+273)^4)</f>
        <v/>
      </c>
      <c r="AD27">
        <f>S27+AC27+AA27+AB27</f>
        <v/>
      </c>
      <c r="AE27" t="n">
        <v>0</v>
      </c>
      <c r="AF27" t="n">
        <v>0</v>
      </c>
      <c r="AG27">
        <f>IF(AE27*$H$13&gt;=AI27,1.0,(AI27/(AI27-AE27*$H$13)))</f>
        <v/>
      </c>
      <c r="AH27">
        <f>(AG27-1)*100</f>
        <v/>
      </c>
      <c r="AI27">
        <f>MAX(0,($B$13+$C$13*DQ27)/(1+$D$13*DQ27)*DJ27/(DL27+273)*$E$13)</f>
        <v/>
      </c>
      <c r="AJ27" t="inlineStr">
        <is>
          <t>-</t>
        </is>
      </c>
      <c r="AK27" t="inlineStr">
        <is>
          <t>-</t>
        </is>
      </c>
      <c r="AL27" t="n">
        <v>0</v>
      </c>
      <c r="AM27" t="n">
        <v>0</v>
      </c>
      <c r="AN27">
        <f>1-AL27/AM27</f>
        <v/>
      </c>
      <c r="AO27" t="n">
        <v>0</v>
      </c>
      <c r="AP27" t="inlineStr">
        <is>
          <t>-</t>
        </is>
      </c>
      <c r="AQ27" t="inlineStr">
        <is>
          <t>-</t>
        </is>
      </c>
      <c r="AR27" t="n">
        <v>0</v>
      </c>
      <c r="AS27" t="n">
        <v>0</v>
      </c>
      <c r="AT27">
        <f>1-AR27/AS27</f>
        <v/>
      </c>
      <c r="AU27" t="n">
        <v>0.5</v>
      </c>
      <c r="AV27">
        <f>CU27</f>
        <v/>
      </c>
      <c r="AW27">
        <f>J27</f>
        <v/>
      </c>
      <c r="AX27">
        <f>AT27*AU27*AV27</f>
        <v/>
      </c>
      <c r="AY27">
        <f>(AW27-AO27)/AV27</f>
        <v/>
      </c>
      <c r="AZ27">
        <f>(AM27-AS27)/AS27</f>
        <v/>
      </c>
      <c r="BA27">
        <f>AL27/(AN27+AL27/AS27)</f>
        <v/>
      </c>
      <c r="BB27" t="inlineStr">
        <is>
          <t>-</t>
        </is>
      </c>
      <c r="BC27" t="n">
        <v>0</v>
      </c>
      <c r="BD27">
        <f>IF(BC27&lt;&gt;0, BC27, BA27)</f>
        <v/>
      </c>
      <c r="BE27">
        <f>1-BD27/AS27</f>
        <v/>
      </c>
      <c r="BF27">
        <f>(AS27-AR27)/(AS27-BD27)</f>
        <v/>
      </c>
      <c r="BG27">
        <f>(AM27-AS27)/(AM27-BD27)</f>
        <v/>
      </c>
      <c r="BH27">
        <f>(AS27-AR27)/(AS27-AL27)</f>
        <v/>
      </c>
      <c r="BI27">
        <f>(AM27-AS27)/(AM27-AL27)</f>
        <v/>
      </c>
      <c r="BJ27">
        <f>(BF27*BD27/AR27)</f>
        <v/>
      </c>
      <c r="BK27">
        <f>(1-BJ27)</f>
        <v/>
      </c>
      <c r="BL27" t="n">
        <v>1166</v>
      </c>
      <c r="BM27" t="n">
        <v>290</v>
      </c>
      <c r="BN27" t="n">
        <v>1275.63</v>
      </c>
      <c r="BO27" t="n">
        <v>145</v>
      </c>
      <c r="BP27" t="n">
        <v>8135.53</v>
      </c>
      <c r="BQ27" t="n">
        <v>1265.26</v>
      </c>
      <c r="BR27" t="n">
        <v>10.37</v>
      </c>
      <c r="BS27" t="n">
        <v>300</v>
      </c>
      <c r="BT27" t="n">
        <v>19.3</v>
      </c>
      <c r="BU27" t="n">
        <v>1332.45541265344</v>
      </c>
      <c r="BV27" t="n">
        <v>1.81080575079226</v>
      </c>
      <c r="BW27" t="n">
        <v>-54.6693079656955</v>
      </c>
      <c r="BX27" t="n">
        <v>1.31551974861254</v>
      </c>
      <c r="BY27" t="n">
        <v>0.984045586611453</v>
      </c>
      <c r="BZ27" t="n">
        <v>-0.00539105072302559</v>
      </c>
      <c r="CA27" t="n">
        <v>290</v>
      </c>
      <c r="CB27" t="n">
        <v>1248.3</v>
      </c>
      <c r="CC27" t="n">
        <v>615</v>
      </c>
      <c r="CD27" t="n">
        <v>8117.41</v>
      </c>
      <c r="CE27" t="n">
        <v>1265.11</v>
      </c>
      <c r="CF27" t="n">
        <v>-16.81</v>
      </c>
      <c r="CT27">
        <f>$B$11*DR27+$C$11*DS27+$F$11*ED27*(1-EG27)</f>
        <v/>
      </c>
      <c r="CU27">
        <f>CT27*CV27</f>
        <v/>
      </c>
      <c r="CV27">
        <f>($B$11*$D$9+$C$11*$D$9+$F$11*((EQ27+EI27)/MAX(EQ27+EI27+ER27, 0.1)*$I$9+ER27/MAX(EQ27+EI27+ER27, 0.1)*$J$9))/($B$11+$C$11+$F$11)</f>
        <v/>
      </c>
      <c r="CW27">
        <f>($B$11*$K$9+$C$11*$K$9+$F$11*((EQ27+EI27)/MAX(EQ27+EI27+ER27, 0.1)*$P$9+ER27/MAX(EQ27+EI27+ER27, 0.1)*$Q$9))/($B$11+$C$11+$F$11)</f>
        <v/>
      </c>
      <c r="CX27" t="n">
        <v>2</v>
      </c>
      <c r="CY27" t="n">
        <v>0.5</v>
      </c>
      <c r="CZ27" t="inlineStr">
        <is>
          <t>0: Broadleaf</t>
        </is>
      </c>
      <c r="DA27" t="n">
        <v>2</v>
      </c>
      <c r="DB27" t="n">
        <v>1792301309.6</v>
      </c>
      <c r="DC27" t="n">
        <v>1488.51333333333</v>
      </c>
      <c r="DD27" t="n">
        <v>1499.97</v>
      </c>
      <c r="DE27" t="n">
        <v>17.6067333333333</v>
      </c>
      <c r="DF27" t="n">
        <v>15.4451</v>
      </c>
      <c r="DG27" t="n">
        <v>1486.285</v>
      </c>
      <c r="DH27" t="n">
        <v>17.6911666666667</v>
      </c>
      <c r="DI27" t="n">
        <v>500.059833333333</v>
      </c>
      <c r="DJ27" t="n">
        <v>100.843</v>
      </c>
      <c r="DK27" t="n">
        <v>0.09996526666666671</v>
      </c>
      <c r="DL27" t="n">
        <v>25.2105333333333</v>
      </c>
      <c r="DM27" t="n">
        <v>25.0097</v>
      </c>
      <c r="DN27" t="n">
        <v>999.9</v>
      </c>
      <c r="DO27" t="n">
        <v>0</v>
      </c>
      <c r="DP27" t="n">
        <v>0</v>
      </c>
      <c r="DQ27" t="n">
        <v>10008.33</v>
      </c>
      <c r="DR27" t="n">
        <v>0</v>
      </c>
      <c r="DS27" t="n">
        <v>5.93068333333333</v>
      </c>
      <c r="DT27" t="n">
        <v>-11.4565</v>
      </c>
      <c r="DU27" t="n">
        <v>1515.19166666667</v>
      </c>
      <c r="DV27" t="n">
        <v>1523.5</v>
      </c>
      <c r="DW27" t="n">
        <v>2.16163666666667</v>
      </c>
      <c r="DX27" t="n">
        <v>1499.97</v>
      </c>
      <c r="DY27" t="n">
        <v>15.4451</v>
      </c>
      <c r="DZ27" t="n">
        <v>1.77551666666667</v>
      </c>
      <c r="EA27" t="n">
        <v>1.55753</v>
      </c>
      <c r="EB27" t="n">
        <v>15.5729</v>
      </c>
      <c r="EC27" t="n">
        <v>13.5449333333333</v>
      </c>
      <c r="ED27" t="n">
        <v>1499.995</v>
      </c>
      <c r="EE27" t="n">
        <v>0.9729989999999999</v>
      </c>
      <c r="EF27" t="n">
        <v>0.0270007</v>
      </c>
      <c r="EG27" t="n">
        <v>0</v>
      </c>
      <c r="EH27" t="n">
        <v>231.599666666667</v>
      </c>
      <c r="EI27" t="n">
        <v>5.00064</v>
      </c>
      <c r="EJ27" t="n">
        <v>3735.27833333333</v>
      </c>
      <c r="EK27" t="n">
        <v>15439.1833333333</v>
      </c>
      <c r="EL27" t="n">
        <v>41.3016666666667</v>
      </c>
      <c r="EM27" t="n">
        <v>42</v>
      </c>
      <c r="EN27" t="n">
        <v>41.625</v>
      </c>
      <c r="EO27" t="n">
        <v>41.604</v>
      </c>
      <c r="EP27" t="n">
        <v>42.75</v>
      </c>
      <c r="EQ27" t="n">
        <v>1454.625</v>
      </c>
      <c r="ER27" t="n">
        <v>40.37</v>
      </c>
      <c r="ES27" t="n">
        <v>0</v>
      </c>
      <c r="ET27" t="n">
        <v>3168.90000009537</v>
      </c>
      <c r="EU27" t="n">
        <v>0</v>
      </c>
      <c r="EV27" t="n">
        <v>231.701384615385</v>
      </c>
      <c r="EW27" t="n">
        <v>-1.30441025924976</v>
      </c>
      <c r="EX27" t="n">
        <v>-7.21333333789037</v>
      </c>
      <c r="EY27" t="n">
        <v>3735.775</v>
      </c>
      <c r="EZ27" t="n">
        <v>15</v>
      </c>
      <c r="FA27" t="n">
        <v>1792301265.1</v>
      </c>
      <c r="FB27" t="inlineStr">
        <is>
          <t>14:27:45</t>
        </is>
      </c>
      <c r="FC27" t="n">
        <v>1792301265.1</v>
      </c>
      <c r="FD27" t="n">
        <v>1792301251.1</v>
      </c>
      <c r="FE27" t="n">
        <v>51</v>
      </c>
      <c r="FF27" t="n">
        <v>0.462</v>
      </c>
      <c r="FG27" t="n">
        <v>0.002</v>
      </c>
      <c r="FH27" t="n">
        <v>2.235</v>
      </c>
      <c r="FI27" t="n">
        <v>-0.164</v>
      </c>
      <c r="FJ27" t="n">
        <v>1500</v>
      </c>
      <c r="FK27" t="n">
        <v>15</v>
      </c>
      <c r="FL27" t="n">
        <v>0.18</v>
      </c>
      <c r="FM27" t="n">
        <v>0.03</v>
      </c>
      <c r="FN27" t="n">
        <v>20.4137547285322</v>
      </c>
      <c r="FO27" t="n">
        <v>-0.131310833795065</v>
      </c>
      <c r="FP27" t="n">
        <v>0.203800553353376</v>
      </c>
      <c r="FQ27" t="n">
        <v>1</v>
      </c>
      <c r="FR27" t="n">
        <v>-11.47115</v>
      </c>
      <c r="FS27" t="n">
        <v>0.446156390977435</v>
      </c>
      <c r="FT27" t="n">
        <v>0.0927390236092661</v>
      </c>
      <c r="FU27" t="n">
        <v>1</v>
      </c>
      <c r="FV27" t="n">
        <v>231.683529411765</v>
      </c>
      <c r="FW27" t="n">
        <v>-0.153124522766719</v>
      </c>
      <c r="FX27" t="n">
        <v>0.207035125649235</v>
      </c>
      <c r="FY27" t="n">
        <v>1</v>
      </c>
      <c r="FZ27" t="n">
        <v>3</v>
      </c>
      <c r="GA27" t="n">
        <v>3</v>
      </c>
      <c r="GB27" t="inlineStr">
        <is>
          <t>3/3</t>
        </is>
      </c>
      <c r="GC27" t="n">
        <v>3.12335</v>
      </c>
      <c r="GD27" t="n">
        <v>2.76511</v>
      </c>
      <c r="GE27" t="n">
        <v>0.210054</v>
      </c>
      <c r="GF27" t="n">
        <v>0.216445</v>
      </c>
      <c r="GG27" t="n">
        <v>0.09334240000000001</v>
      </c>
      <c r="GH27" t="n">
        <v>0.08803</v>
      </c>
      <c r="GI27" t="n">
        <v>15385.2</v>
      </c>
      <c r="GJ27" t="n">
        <v>23020.2</v>
      </c>
      <c r="GK27" t="n">
        <v>22758.3</v>
      </c>
      <c r="GL27" t="n">
        <v>30104.6</v>
      </c>
      <c r="GM27" t="n">
        <v>33853.8</v>
      </c>
      <c r="GN27" t="n">
        <v>34216.2</v>
      </c>
      <c r="GO27" t="n">
        <v>43061.8</v>
      </c>
      <c r="GP27" t="n">
        <v>42882.2</v>
      </c>
      <c r="GQ27" t="n">
        <v>1.97285</v>
      </c>
      <c r="GR27" t="n">
        <v>1.81105</v>
      </c>
      <c r="GS27" t="n">
        <v>0.0715442</v>
      </c>
      <c r="GT27" t="n">
        <v>0</v>
      </c>
      <c r="GU27" t="n">
        <v>23.8197</v>
      </c>
      <c r="GV27" t="n">
        <v>999.9</v>
      </c>
      <c r="GW27" t="n">
        <v>39.696</v>
      </c>
      <c r="GX27" t="n">
        <v>32.559</v>
      </c>
      <c r="GY27" t="n">
        <v>19.4008</v>
      </c>
      <c r="GZ27" t="n">
        <v>63.0616</v>
      </c>
      <c r="HA27" t="n">
        <v>36.1659</v>
      </c>
      <c r="HB27" t="n">
        <v>1</v>
      </c>
      <c r="HC27" t="n">
        <v>0.0698323</v>
      </c>
      <c r="HD27" t="n">
        <v>2.26087</v>
      </c>
      <c r="HE27" t="n">
        <v>20.2227</v>
      </c>
      <c r="HF27" t="n">
        <v>5.23256</v>
      </c>
      <c r="HG27" t="n">
        <v>11.962</v>
      </c>
      <c r="HH27" t="n">
        <v>4.96775</v>
      </c>
      <c r="HI27" t="n">
        <v>3.29505</v>
      </c>
      <c r="HJ27" t="n">
        <v>9999</v>
      </c>
      <c r="HK27" t="n">
        <v>9999</v>
      </c>
      <c r="HL27" t="n">
        <v>9999</v>
      </c>
      <c r="HM27" t="n">
        <v>999.9</v>
      </c>
      <c r="HN27" t="n">
        <v>4.96854</v>
      </c>
      <c r="HO27" t="n">
        <v>1.86246</v>
      </c>
      <c r="HP27" t="n">
        <v>1.86397</v>
      </c>
      <c r="HQ27" t="n">
        <v>1.86587</v>
      </c>
      <c r="HR27" t="n">
        <v>1.86295</v>
      </c>
      <c r="HS27" t="n">
        <v>1.86661</v>
      </c>
      <c r="HT27" t="n">
        <v>1.86338</v>
      </c>
      <c r="HU27" t="n">
        <v>1.86528</v>
      </c>
      <c r="HV27" t="n">
        <v>0</v>
      </c>
      <c r="HW27" t="n">
        <v>0</v>
      </c>
      <c r="HX27" t="n">
        <v>0</v>
      </c>
      <c r="HY27" t="n">
        <v>0</v>
      </c>
      <c r="HZ27" t="inlineStr">
        <is>
          <t>11111111</t>
        </is>
      </c>
      <c r="IA27" t="inlineStr">
        <is>
          <t>oooooooo</t>
        </is>
      </c>
      <c r="IB27" t="inlineStr">
        <is>
          <t>on</t>
        </is>
      </c>
      <c r="IC27" t="inlineStr">
        <is>
          <t>on</t>
        </is>
      </c>
      <c r="ID27" t="inlineStr">
        <is>
          <t>on</t>
        </is>
      </c>
      <c r="IE27" t="inlineStr">
        <is>
          <t>on</t>
        </is>
      </c>
      <c r="IF27" t="n">
        <v>0</v>
      </c>
      <c r="IG27" t="n">
        <v>100</v>
      </c>
      <c r="IH27" t="n">
        <v>100</v>
      </c>
      <c r="II27" t="n">
        <v>2.22</v>
      </c>
      <c r="IJ27" t="n">
        <v>-0.0852</v>
      </c>
      <c r="IK27" t="n">
        <v>1.48216286048532</v>
      </c>
      <c r="IL27" t="n">
        <v>0.000216929631606078</v>
      </c>
      <c r="IM27" t="n">
        <v>2.72263024731635e-07</v>
      </c>
      <c r="IN27" t="n">
        <v>-5.43792051235154e-11</v>
      </c>
      <c r="IO27" t="n">
        <v>-0.00270958988606106</v>
      </c>
      <c r="IP27" t="n">
        <v>-0.0584433849545669</v>
      </c>
      <c r="IQ27" t="n">
        <v>0.00341568706061026</v>
      </c>
      <c r="IR27" t="n">
        <v>-2.10952612506686e-05</v>
      </c>
      <c r="IS27" t="n">
        <v>0</v>
      </c>
      <c r="IT27" t="n">
        <v>1734</v>
      </c>
      <c r="IU27" t="n">
        <v>2</v>
      </c>
      <c r="IV27" t="n">
        <v>19</v>
      </c>
      <c r="IW27" t="n">
        <v>0.8</v>
      </c>
      <c r="IX27" t="n">
        <v>1</v>
      </c>
      <c r="IY27" t="n">
        <v>3.00781</v>
      </c>
      <c r="IZ27" t="n">
        <v>2.54761</v>
      </c>
      <c r="JA27" t="n">
        <v>1.34644</v>
      </c>
      <c r="JB27" t="n">
        <v>2.26196</v>
      </c>
      <c r="JC27" t="n">
        <v>1.55029</v>
      </c>
      <c r="JD27" t="n">
        <v>2.49023</v>
      </c>
      <c r="JE27" t="n">
        <v>36.3635</v>
      </c>
      <c r="JF27" t="n">
        <v>14.8062</v>
      </c>
      <c r="JG27" t="n">
        <v>18</v>
      </c>
      <c r="JH27" t="n">
        <v>501.396</v>
      </c>
      <c r="JI27" t="n">
        <v>474.707</v>
      </c>
      <c r="JJ27" t="n">
        <v>21.6654</v>
      </c>
      <c r="JK27" t="n">
        <v>28.1266</v>
      </c>
      <c r="JL27" t="n">
        <v>30.0003</v>
      </c>
      <c r="JM27" t="n">
        <v>28.1106</v>
      </c>
      <c r="JN27" t="n">
        <v>28.1226</v>
      </c>
      <c r="JO27" t="n">
        <v>60.2094</v>
      </c>
      <c r="JP27" t="n">
        <v>28.6348</v>
      </c>
      <c r="JQ27" t="n">
        <v>17.7693</v>
      </c>
      <c r="JR27" t="n">
        <v>21.6542</v>
      </c>
      <c r="JS27" t="n">
        <v>1500</v>
      </c>
      <c r="JT27" t="n">
        <v>15.4216</v>
      </c>
      <c r="JU27" t="n">
        <v>101.678</v>
      </c>
      <c r="JV27" t="n">
        <v>97.3706</v>
      </c>
    </row>
    <row r="28">
      <c r="A28" t="n">
        <v>12</v>
      </c>
      <c r="B28" t="n">
        <v>1792301440.1</v>
      </c>
      <c r="C28" t="n">
        <v>1445.09999990463</v>
      </c>
      <c r="D28" t="inlineStr">
        <is>
          <t>20261018 14:30:40</t>
        </is>
      </c>
      <c r="E28" t="inlineStr">
        <is>
          <t>14:30:40</t>
        </is>
      </c>
      <c r="F28" t="n">
        <v>5</v>
      </c>
      <c r="G28" t="n">
        <v>1792301436.6</v>
      </c>
      <c r="H28">
        <f>(I28)/1000</f>
        <v/>
      </c>
      <c r="I28">
        <f>1000*DI28*AG28*(DE28-DF28)/(100*CX28*(1000-AG28*DE28))</f>
        <v/>
      </c>
      <c r="J28">
        <f>DI28*AG28*(DD28-DC28*(1000-AG28*DF28)/(1000-AG28*DE28))/(100*CX28)</f>
        <v/>
      </c>
      <c r="K28">
        <f>DC28 - IF(AG28&gt;1, J28*CX28*100.0/(AI28), 0)</f>
        <v/>
      </c>
      <c r="L28">
        <f>((R28-H28/2)*K28-J28)/(R28+H28/2)</f>
        <v/>
      </c>
      <c r="M28">
        <f>L28*(DJ28+DK28)/1000.0</f>
        <v/>
      </c>
      <c r="N28">
        <f>(DC28 - IF(AG28&gt;1, J28*CX28*100.0/(AI28), 0))*(DJ28+DK28)/1000.0</f>
        <v/>
      </c>
      <c r="O28">
        <f>2.0/((1/Q28-1/P28)+SIGN(Q28)*SQRT((1/Q28-1/P28)*(1/Q28-1/P28) + 4*CY28/((CY28+1)*(CY28+1))*(2*1/Q28*1/P28-1/P28*1/P28)))</f>
        <v/>
      </c>
      <c r="P28">
        <f>IF(LEFT(CZ28,1)&lt;&gt;"0",IF(LEFT(CZ28,1)="1",3.0,DA28),$D$5+$E$5*(DQ28*DJ28/($K$5*1000))+$F$5*(DQ28*DJ28/($K$5*1000))*MAX(MIN(CX28,$J$5),$I$5)*MAX(MIN(CX28,$J$5),$I$5)+$G$5*MAX(MIN(CX28,$J$5),$I$5)*(DQ28*DJ28/($K$5*1000))+$H$5*(DQ28*DJ28/($K$5*1000))*(DQ28*DJ28/($K$5*1000)))</f>
        <v/>
      </c>
      <c r="Q28">
        <f>H28*(1000-(1000*0.61365*exp(17.502*U28/(240.97+U28))/(DJ28+DK28)+DE28)/2)/(1000*0.61365*exp(17.502*U28/(240.97+U28))/(DJ28+DK28)-DE28)</f>
        <v/>
      </c>
      <c r="R28">
        <f>1/((CY28+1)/(O28/1.6)+1/(P28/1.37)) + CY28/((CY28+1)/(O28/1.6) + CY28/(P28/1.37))</f>
        <v/>
      </c>
      <c r="S28">
        <f>(CT28*CW28)</f>
        <v/>
      </c>
      <c r="T28">
        <f>(DL28+(S28+2*0.95*5.67E-8*(((DL28+$B$7)+273)^4-(DL28+273)^4)-44100*H28)/(1.84*29.3*P28+8*0.95*5.67E-8*(DL28+273)^3))</f>
        <v/>
      </c>
      <c r="U28">
        <f>($C$7*DM28+$D$7*DN28+$E$7*T28)</f>
        <v/>
      </c>
      <c r="V28">
        <f>0.61365*exp(17.502*U28/(240.97+U28))</f>
        <v/>
      </c>
      <c r="W28">
        <f>(X28/Y28*100)</f>
        <v/>
      </c>
      <c r="X28">
        <f>DE28*(DJ28+DK28)/1000</f>
        <v/>
      </c>
      <c r="Y28">
        <f>0.61365*exp(17.502*DL28/(240.97+DL28))</f>
        <v/>
      </c>
      <c r="Z28">
        <f>(V28-DE28*(DJ28+DK28)/1000)</f>
        <v/>
      </c>
      <c r="AA28">
        <f>(-H28*44100)</f>
        <v/>
      </c>
      <c r="AB28">
        <f>2*29.3*P28*0.92*(DL28-U28)</f>
        <v/>
      </c>
      <c r="AC28">
        <f>2*0.95*5.67E-8*(((DL28+$B$7)+273)^4-(U28+273)^4)</f>
        <v/>
      </c>
      <c r="AD28">
        <f>S28+AC28+AA28+AB28</f>
        <v/>
      </c>
      <c r="AE28" t="n">
        <v>0</v>
      </c>
      <c r="AF28" t="n">
        <v>0</v>
      </c>
      <c r="AG28">
        <f>IF(AE28*$H$13&gt;=AI28,1.0,(AI28/(AI28-AE28*$H$13)))</f>
        <v/>
      </c>
      <c r="AH28">
        <f>(AG28-1)*100</f>
        <v/>
      </c>
      <c r="AI28">
        <f>MAX(0,($B$13+$C$13*DQ28)/(1+$D$13*DQ28)*DJ28/(DL28+273)*$E$13)</f>
        <v/>
      </c>
      <c r="AJ28" t="inlineStr">
        <is>
          <t>-</t>
        </is>
      </c>
      <c r="AK28" t="inlineStr">
        <is>
          <t>-</t>
        </is>
      </c>
      <c r="AL28" t="n">
        <v>0</v>
      </c>
      <c r="AM28" t="n">
        <v>0</v>
      </c>
      <c r="AN28">
        <f>1-AL28/AM28</f>
        <v/>
      </c>
      <c r="AO28" t="n">
        <v>0</v>
      </c>
      <c r="AP28" t="inlineStr">
        <is>
          <t>-</t>
        </is>
      </c>
      <c r="AQ28" t="inlineStr">
        <is>
          <t>-</t>
        </is>
      </c>
      <c r="AR28" t="n">
        <v>0</v>
      </c>
      <c r="AS28" t="n">
        <v>0</v>
      </c>
      <c r="AT28">
        <f>1-AR28/AS28</f>
        <v/>
      </c>
      <c r="AU28" t="n">
        <v>0.5</v>
      </c>
      <c r="AV28">
        <f>CU28</f>
        <v/>
      </c>
      <c r="AW28">
        <f>J28</f>
        <v/>
      </c>
      <c r="AX28">
        <f>AT28*AU28*AV28</f>
        <v/>
      </c>
      <c r="AY28">
        <f>(AW28-AO28)/AV28</f>
        <v/>
      </c>
      <c r="AZ28">
        <f>(AM28-AS28)/AS28</f>
        <v/>
      </c>
      <c r="BA28">
        <f>AL28/(AN28+AL28/AS28)</f>
        <v/>
      </c>
      <c r="BB28" t="inlineStr">
        <is>
          <t>-</t>
        </is>
      </c>
      <c r="BC28" t="n">
        <v>0</v>
      </c>
      <c r="BD28">
        <f>IF(BC28&lt;&gt;0, BC28, BA28)</f>
        <v/>
      </c>
      <c r="BE28">
        <f>1-BD28/AS28</f>
        <v/>
      </c>
      <c r="BF28">
        <f>(AS28-AR28)/(AS28-BD28)</f>
        <v/>
      </c>
      <c r="BG28">
        <f>(AM28-AS28)/(AM28-BD28)</f>
        <v/>
      </c>
      <c r="BH28">
        <f>(AS28-AR28)/(AS28-AL28)</f>
        <v/>
      </c>
      <c r="BI28">
        <f>(AM28-AS28)/(AM28-AL28)</f>
        <v/>
      </c>
      <c r="BJ28">
        <f>(BF28*BD28/AR28)</f>
        <v/>
      </c>
      <c r="BK28">
        <f>(1-BJ28)</f>
        <v/>
      </c>
      <c r="BL28" t="n">
        <v>1166</v>
      </c>
      <c r="BM28" t="n">
        <v>290</v>
      </c>
      <c r="BN28" t="n">
        <v>1275.63</v>
      </c>
      <c r="BO28" t="n">
        <v>145</v>
      </c>
      <c r="BP28" t="n">
        <v>8135.53</v>
      </c>
      <c r="BQ28" t="n">
        <v>1265.26</v>
      </c>
      <c r="BR28" t="n">
        <v>10.37</v>
      </c>
      <c r="BS28" t="n">
        <v>300</v>
      </c>
      <c r="BT28" t="n">
        <v>19.3</v>
      </c>
      <c r="BU28" t="n">
        <v>1332.45541265344</v>
      </c>
      <c r="BV28" t="n">
        <v>1.81080575079226</v>
      </c>
      <c r="BW28" t="n">
        <v>-54.6693079656955</v>
      </c>
      <c r="BX28" t="n">
        <v>1.31551974861254</v>
      </c>
      <c r="BY28" t="n">
        <v>0.984045586611453</v>
      </c>
      <c r="BZ28" t="n">
        <v>-0.00539105072302559</v>
      </c>
      <c r="CA28" t="n">
        <v>290</v>
      </c>
      <c r="CB28" t="n">
        <v>1248.3</v>
      </c>
      <c r="CC28" t="n">
        <v>615</v>
      </c>
      <c r="CD28" t="n">
        <v>8117.41</v>
      </c>
      <c r="CE28" t="n">
        <v>1265.11</v>
      </c>
      <c r="CF28" t="n">
        <v>-16.81</v>
      </c>
      <c r="CT28">
        <f>$B$11*DR28+$C$11*DS28+$F$11*ED28*(1-EG28)</f>
        <v/>
      </c>
      <c r="CU28">
        <f>CT28*CV28</f>
        <v/>
      </c>
      <c r="CV28">
        <f>($B$11*$D$9+$C$11*$D$9+$F$11*((EQ28+EI28)/MAX(EQ28+EI28+ER28, 0.1)*$I$9+ER28/MAX(EQ28+EI28+ER28, 0.1)*$J$9))/($B$11+$C$11+$F$11)</f>
        <v/>
      </c>
      <c r="CW28">
        <f>($B$11*$K$9+$C$11*$K$9+$F$11*((EQ28+EI28)/MAX(EQ28+EI28+ER28, 0.1)*$P$9+ER28/MAX(EQ28+EI28+ER28, 0.1)*$Q$9))/($B$11+$C$11+$F$11)</f>
        <v/>
      </c>
      <c r="CX28" t="n">
        <v>2</v>
      </c>
      <c r="CY28" t="n">
        <v>0.5</v>
      </c>
      <c r="CZ28" t="inlineStr">
        <is>
          <t>0: Broadleaf</t>
        </is>
      </c>
      <c r="DA28" t="n">
        <v>2</v>
      </c>
      <c r="DB28" t="n">
        <v>1792301436.6</v>
      </c>
      <c r="DC28" t="n">
        <v>1787.95166666667</v>
      </c>
      <c r="DD28" t="n">
        <v>1800.035</v>
      </c>
      <c r="DE28" t="n">
        <v>17.5308833333333</v>
      </c>
      <c r="DF28" t="n">
        <v>15.4934833333333</v>
      </c>
      <c r="DG28" t="n">
        <v>1785.44166666667</v>
      </c>
      <c r="DH28" t="n">
        <v>17.6165</v>
      </c>
      <c r="DI28" t="n">
        <v>500.068166666667</v>
      </c>
      <c r="DJ28" t="n">
        <v>100.854166666667</v>
      </c>
      <c r="DK28" t="n">
        <v>0.100049616666667</v>
      </c>
      <c r="DL28" t="n">
        <v>25.16045</v>
      </c>
      <c r="DM28" t="n">
        <v>24.99915</v>
      </c>
      <c r="DN28" t="n">
        <v>999.9</v>
      </c>
      <c r="DO28" t="n">
        <v>0</v>
      </c>
      <c r="DP28" t="n">
        <v>0</v>
      </c>
      <c r="DQ28" t="n">
        <v>10005.4333333333</v>
      </c>
      <c r="DR28" t="n">
        <v>0</v>
      </c>
      <c r="DS28" t="n">
        <v>5.94932333333333</v>
      </c>
      <c r="DT28" t="n">
        <v>-12.0867666666667</v>
      </c>
      <c r="DU28" t="n">
        <v>1819.85333333333</v>
      </c>
      <c r="DV28" t="n">
        <v>1828.36333333333</v>
      </c>
      <c r="DW28" t="n">
        <v>2.03739</v>
      </c>
      <c r="DX28" t="n">
        <v>1800.035</v>
      </c>
      <c r="DY28" t="n">
        <v>15.4934833333333</v>
      </c>
      <c r="DZ28" t="n">
        <v>1.76806</v>
      </c>
      <c r="EA28" t="n">
        <v>1.56258166666667</v>
      </c>
      <c r="EB28" t="n">
        <v>15.5072166666667</v>
      </c>
      <c r="EC28" t="n">
        <v>13.5946666666667</v>
      </c>
      <c r="ED28" t="n">
        <v>1500.04833333333</v>
      </c>
      <c r="EE28" t="n">
        <v>0.973000333333333</v>
      </c>
      <c r="EF28" t="n">
        <v>0.0269994166666667</v>
      </c>
      <c r="EG28" t="n">
        <v>0</v>
      </c>
      <c r="EH28" t="n">
        <v>231.549333333333</v>
      </c>
      <c r="EI28" t="n">
        <v>5.00064</v>
      </c>
      <c r="EJ28" t="n">
        <v>3732.98833333333</v>
      </c>
      <c r="EK28" t="n">
        <v>15439.7</v>
      </c>
      <c r="EL28" t="n">
        <v>41.312</v>
      </c>
      <c r="EM28" t="n">
        <v>42</v>
      </c>
      <c r="EN28" t="n">
        <v>41.625</v>
      </c>
      <c r="EO28" t="n">
        <v>41.604</v>
      </c>
      <c r="EP28" t="n">
        <v>42.75</v>
      </c>
      <c r="EQ28" t="n">
        <v>1454.67833333333</v>
      </c>
      <c r="ER28" t="n">
        <v>40.37</v>
      </c>
      <c r="ES28" t="n">
        <v>0</v>
      </c>
      <c r="ET28" t="n">
        <v>3296.10000014305</v>
      </c>
      <c r="EU28" t="n">
        <v>0</v>
      </c>
      <c r="EV28" t="n">
        <v>231.481846153846</v>
      </c>
      <c r="EW28" t="n">
        <v>1.40157264409151</v>
      </c>
      <c r="EX28" t="n">
        <v>10.7323076907383</v>
      </c>
      <c r="EY28" t="n">
        <v>3732.63461538462</v>
      </c>
      <c r="EZ28" t="n">
        <v>15</v>
      </c>
      <c r="FA28" t="n">
        <v>1792301386.1</v>
      </c>
      <c r="FB28" t="inlineStr">
        <is>
          <t>14:29:46</t>
        </is>
      </c>
      <c r="FC28" t="n">
        <v>1792301386.1</v>
      </c>
      <c r="FD28" t="n">
        <v>1792301369.1</v>
      </c>
      <c r="FE28" t="n">
        <v>52</v>
      </c>
      <c r="FF28" t="n">
        <v>0.037</v>
      </c>
      <c r="FG28" t="n">
        <v>0.002</v>
      </c>
      <c r="FH28" t="n">
        <v>2.473</v>
      </c>
      <c r="FI28" t="n">
        <v>-0.162</v>
      </c>
      <c r="FJ28" t="n">
        <v>1800</v>
      </c>
      <c r="FK28" t="n">
        <v>15</v>
      </c>
      <c r="FL28" t="n">
        <v>0.2</v>
      </c>
      <c r="FM28" t="n">
        <v>0.02</v>
      </c>
      <c r="FN28" t="n">
        <v>20.7803687939804</v>
      </c>
      <c r="FO28" t="n">
        <v>0.668827393514601</v>
      </c>
      <c r="FP28" t="n">
        <v>0.173333281788974</v>
      </c>
      <c r="FQ28" t="n">
        <v>0</v>
      </c>
      <c r="FR28" t="n">
        <v>-12.0539904761905</v>
      </c>
      <c r="FS28" t="n">
        <v>0.0639428571428431</v>
      </c>
      <c r="FT28" t="n">
        <v>0.0720307666061419</v>
      </c>
      <c r="FU28" t="n">
        <v>1</v>
      </c>
      <c r="FV28" t="n">
        <v>231.505058823529</v>
      </c>
      <c r="FW28" t="n">
        <v>0.104201679820945</v>
      </c>
      <c r="FX28" t="n">
        <v>0.197848715403589</v>
      </c>
      <c r="FY28" t="n">
        <v>1</v>
      </c>
      <c r="FZ28" t="n">
        <v>2</v>
      </c>
      <c r="GA28" t="n">
        <v>3</v>
      </c>
      <c r="GB28" t="inlineStr">
        <is>
          <t>2/3</t>
        </is>
      </c>
      <c r="GC28" t="n">
        <v>3.12367</v>
      </c>
      <c r="GD28" t="n">
        <v>2.76536</v>
      </c>
      <c r="GE28" t="n">
        <v>0.233288</v>
      </c>
      <c r="GF28" t="n">
        <v>0.240172</v>
      </c>
      <c r="GG28" t="n">
        <v>0.0931235</v>
      </c>
      <c r="GH28" t="n">
        <v>0.0882424</v>
      </c>
      <c r="GI28" t="n">
        <v>14933</v>
      </c>
      <c r="GJ28" t="n">
        <v>22323.1</v>
      </c>
      <c r="GK28" t="n">
        <v>22758.6</v>
      </c>
      <c r="GL28" t="n">
        <v>30104.4</v>
      </c>
      <c r="GM28" t="n">
        <v>33864.2</v>
      </c>
      <c r="GN28" t="n">
        <v>34209.7</v>
      </c>
      <c r="GO28" t="n">
        <v>43062.5</v>
      </c>
      <c r="GP28" t="n">
        <v>42882</v>
      </c>
      <c r="GQ28" t="n">
        <v>1.97313</v>
      </c>
      <c r="GR28" t="n">
        <v>1.81195</v>
      </c>
      <c r="GS28" t="n">
        <v>0.0741854</v>
      </c>
      <c r="GT28" t="n">
        <v>0</v>
      </c>
      <c r="GU28" t="n">
        <v>23.7882</v>
      </c>
      <c r="GV28" t="n">
        <v>999.9</v>
      </c>
      <c r="GW28" t="n">
        <v>39.58</v>
      </c>
      <c r="GX28" t="n">
        <v>32.579</v>
      </c>
      <c r="GY28" t="n">
        <v>19.3624</v>
      </c>
      <c r="GZ28" t="n">
        <v>62.9616</v>
      </c>
      <c r="HA28" t="n">
        <v>35.7091</v>
      </c>
      <c r="HB28" t="n">
        <v>1</v>
      </c>
      <c r="HC28" t="n">
        <v>0.00480691</v>
      </c>
      <c r="HD28" t="n">
        <v>2.13573</v>
      </c>
      <c r="HE28" t="n">
        <v>20.2253</v>
      </c>
      <c r="HF28" t="n">
        <v>5.23376</v>
      </c>
      <c r="HG28" t="n">
        <v>11.962</v>
      </c>
      <c r="HH28" t="n">
        <v>4.9693</v>
      </c>
      <c r="HI28" t="n">
        <v>3.29508</v>
      </c>
      <c r="HJ28" t="n">
        <v>9999</v>
      </c>
      <c r="HK28" t="n">
        <v>9999</v>
      </c>
      <c r="HL28" t="n">
        <v>9999</v>
      </c>
      <c r="HM28" t="n">
        <v>999.9</v>
      </c>
      <c r="HN28" t="n">
        <v>4.96855</v>
      </c>
      <c r="HO28" t="n">
        <v>1.86247</v>
      </c>
      <c r="HP28" t="n">
        <v>1.86394</v>
      </c>
      <c r="HQ28" t="n">
        <v>1.86587</v>
      </c>
      <c r="HR28" t="n">
        <v>1.86295</v>
      </c>
      <c r="HS28" t="n">
        <v>1.86661</v>
      </c>
      <c r="HT28" t="n">
        <v>1.8634</v>
      </c>
      <c r="HU28" t="n">
        <v>1.86531</v>
      </c>
      <c r="HV28" t="n">
        <v>0</v>
      </c>
      <c r="HW28" t="n">
        <v>0</v>
      </c>
      <c r="HX28" t="n">
        <v>0</v>
      </c>
      <c r="HY28" t="n">
        <v>0</v>
      </c>
      <c r="HZ28" t="inlineStr">
        <is>
          <t>11111111</t>
        </is>
      </c>
      <c r="IA28" t="inlineStr">
        <is>
          <t>oooooooo</t>
        </is>
      </c>
      <c r="IB28" t="inlineStr">
        <is>
          <t>on</t>
        </is>
      </c>
      <c r="IC28" t="inlineStr">
        <is>
          <t>on</t>
        </is>
      </c>
      <c r="ID28" t="inlineStr">
        <is>
          <t>on</t>
        </is>
      </c>
      <c r="IE28" t="inlineStr">
        <is>
          <t>on</t>
        </is>
      </c>
      <c r="IF28" t="n">
        <v>0</v>
      </c>
      <c r="IG28" t="n">
        <v>100</v>
      </c>
      <c r="IH28" t="n">
        <v>100</v>
      </c>
      <c r="II28" t="n">
        <v>2.5</v>
      </c>
      <c r="IJ28" t="n">
        <v>-0.0859</v>
      </c>
      <c r="IK28" t="n">
        <v>1.56176896928009</v>
      </c>
      <c r="IL28" t="n">
        <v>0.000216929631606078</v>
      </c>
      <c r="IM28" t="n">
        <v>2.72263024731635e-07</v>
      </c>
      <c r="IN28" t="n">
        <v>-5.43792051235154e-11</v>
      </c>
      <c r="IO28" t="n">
        <v>-0.000797365827118</v>
      </c>
      <c r="IP28" t="n">
        <v>-0.0584433849545669</v>
      </c>
      <c r="IQ28" t="n">
        <v>0.00341568706061026</v>
      </c>
      <c r="IR28" t="n">
        <v>-2.10952612506686e-05</v>
      </c>
      <c r="IS28" t="n">
        <v>0</v>
      </c>
      <c r="IT28" t="n">
        <v>1734</v>
      </c>
      <c r="IU28" t="n">
        <v>2</v>
      </c>
      <c r="IV28" t="n">
        <v>19</v>
      </c>
      <c r="IW28" t="n">
        <v>0.9</v>
      </c>
      <c r="IX28" t="n">
        <v>1.2</v>
      </c>
      <c r="IY28" t="n">
        <v>3.47168</v>
      </c>
      <c r="IZ28" t="n">
        <v>2.54028</v>
      </c>
      <c r="JA28" t="n">
        <v>1.34644</v>
      </c>
      <c r="JB28" t="n">
        <v>2.26196</v>
      </c>
      <c r="JC28" t="n">
        <v>1.55029</v>
      </c>
      <c r="JD28" t="n">
        <v>2.50977</v>
      </c>
      <c r="JE28" t="n">
        <v>36.3635</v>
      </c>
      <c r="JF28" t="n">
        <v>14.7887</v>
      </c>
      <c r="JG28" t="n">
        <v>18</v>
      </c>
      <c r="JH28" t="n">
        <v>501.547</v>
      </c>
      <c r="JI28" t="n">
        <v>475.309</v>
      </c>
      <c r="JJ28" t="n">
        <v>21.4897</v>
      </c>
      <c r="JK28" t="n">
        <v>28.1255</v>
      </c>
      <c r="JL28" t="n">
        <v>29.9999</v>
      </c>
      <c r="JM28" t="n">
        <v>28.1082</v>
      </c>
      <c r="JN28" t="n">
        <v>28.1202</v>
      </c>
      <c r="JO28" t="n">
        <v>69.47790000000001</v>
      </c>
      <c r="JP28" t="n">
        <v>28.1552</v>
      </c>
      <c r="JQ28" t="n">
        <v>17.3785</v>
      </c>
      <c r="JR28" t="n">
        <v>21.5802</v>
      </c>
      <c r="JS28" t="n">
        <v>1800</v>
      </c>
      <c r="JT28" t="n">
        <v>15.4736</v>
      </c>
      <c r="JU28" t="n">
        <v>101.68</v>
      </c>
      <c r="JV28" t="n">
        <v>97.37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opened</t>
        </is>
      </c>
      <c r="B1" t="inlineStr">
        <is>
          <t>2026-10-18 13:38:44</t>
        </is>
      </c>
    </row>
    <row r="2">
      <c r="A2" t="inlineStr">
        <is>
          <t>Console s/n</t>
        </is>
      </c>
      <c r="B2" t="inlineStr">
        <is>
          <t>68C-812349</t>
        </is>
      </c>
    </row>
    <row r="3">
      <c r="A3" t="inlineStr">
        <is>
          <t>Console ver</t>
        </is>
      </c>
      <c r="B3" t="inlineStr">
        <is>
          <t>Bluestem v.2.1.13</t>
        </is>
      </c>
    </row>
    <row r="4">
      <c r="A4" t="inlineStr">
        <is>
          <t>Scripts ver</t>
        </is>
      </c>
      <c r="B4" t="inlineStr">
        <is>
          <t>2024.01  2.1.13, Apr 2024</t>
        </is>
      </c>
    </row>
    <row r="5">
      <c r="A5" t="inlineStr">
        <is>
          <t>Head s/n</t>
        </is>
      </c>
      <c r="B5" t="inlineStr">
        <is>
          <t>68H-982339</t>
        </is>
      </c>
    </row>
    <row r="6">
      <c r="A6" t="inlineStr">
        <is>
          <t>Head ver</t>
        </is>
      </c>
      <c r="B6" t="inlineStr">
        <is>
          <t>1.4.23</t>
        </is>
      </c>
    </row>
    <row r="7">
      <c r="A7" t="inlineStr">
        <is>
          <t>Head cal</t>
        </is>
      </c>
      <c r="B7" t="inlineStr">
        <is>
          <t>{"flowazero": "0.316", "h2oaspan2b": "0.111609", "h2obspan2": "0", "chamberpressurezero": "2.61687", "co2bspanconc1": "437.6", "h2obspan1": "0.995823", "co2bzero": "1.02053", "h2oaspan2": "0", "tbzero": "0.145187", "ssb_ref": "37478.9", "tazero": "0.0951138", "h2oaspanconc1": "21.96", "ssa_ref": "32366.8", "h2obspanconc1": "21.96", "co2aspan2": "0.0108874", "h2oaspanconc2": "0", "h2oazero": "1.14957", "co2aspan2a": "0.0929659", "co2bspan2a": "0.0952815", "co2bspanconc2": "1516", "h2oaspan2a": "0.108347", "co2azero": "1.16194", "co2aspan2b": "0.0924399", "h2obspan2b": "0.111633", "co2aspan1": "0.99333", "co2aspanconc2": "1516", "flowmeterzero": "2.5072", "flowbzero": "0.27399", "h2obzero": "1.13925", "co2aspanconc1": "437.6", "co2bspan2": "0.00898303", "co2bspan1": "0.993892", "oxygen": "21", "h2obspan2a": "0.112101", "co2bspan2b": "0.0947811", "h2oaspan1": "1.0301", "h2obspanconc2": "0"}</t>
        </is>
      </c>
    </row>
    <row r="8">
      <c r="A8" t="inlineStr">
        <is>
          <t>Factory cal date</t>
        </is>
      </c>
      <c r="B8" t="inlineStr">
        <is>
          <t>04 Oct 2022</t>
        </is>
      </c>
    </row>
    <row r="9">
      <c r="A9" t="inlineStr">
        <is>
          <t>CO2 rangematch</t>
        </is>
      </c>
      <c r="B9" t="inlineStr">
        <is>
          <t>Fri Oct 16 09:52</t>
        </is>
      </c>
    </row>
    <row r="10">
      <c r="A10" t="inlineStr">
        <is>
          <t>H2O rangematch</t>
        </is>
      </c>
      <c r="B10" t="inlineStr">
        <is>
          <t>Fri Oct 16 09:57</t>
        </is>
      </c>
    </row>
    <row r="11">
      <c r="A11" t="inlineStr">
        <is>
          <t>Chamber type</t>
        </is>
      </c>
      <c r="B11" t="inlineStr">
        <is>
          <t>6800-01A</t>
        </is>
      </c>
    </row>
    <row r="12">
      <c r="A12" t="inlineStr">
        <is>
          <t>Chamber s/n</t>
        </is>
      </c>
      <c r="B12" t="inlineStr">
        <is>
          <t>MPF-282040</t>
        </is>
      </c>
    </row>
    <row r="13">
      <c r="A13" t="inlineStr">
        <is>
          <t>Chamber rev</t>
        </is>
      </c>
      <c r="B13" t="inlineStr">
        <is>
          <t>0</t>
        </is>
      </c>
    </row>
    <row r="14">
      <c r="A14" t="inlineStr">
        <is>
          <t>Chamber cal</t>
        </is>
      </c>
      <c r="B14" t="inlineStr">
        <is>
          <t>0</t>
        </is>
      </c>
    </row>
    <row r="15">
      <c r="A15" t="inlineStr">
        <is>
          <t>Fluorometer</t>
        </is>
      </c>
      <c r="B15" t="inlineStr">
        <is>
          <t>MPF-282040</t>
        </is>
      </c>
    </row>
    <row r="16">
      <c r="A16" t="inlineStr">
        <is>
          <t>Flr. Version</t>
        </is>
      </c>
      <c r="B16" t="inlineStr">
        <is>
          <t>1.4.23</t>
        </is>
      </c>
    </row>
    <row r="17">
      <c r="A17" t="inlineStr">
        <is>
          <t>13:38:44</t>
        </is>
      </c>
      <c r="B17" t="inlineStr">
        <is>
          <t>Stability Definition:	ΔCO2 (Meas2): Slp&lt;0.5 Per=20	F (FlrLS): Slp&lt;1 Per=20	A (GasEx): Slp&lt;0.6 Per=20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time</t>
        </is>
      </c>
      <c r="C1" t="inlineStr">
        <is>
          <t>elapsed</t>
        </is>
      </c>
      <c r="D1" t="inlineStr">
        <is>
          <t>averaging</t>
        </is>
      </c>
      <c r="E1" t="inlineStr">
        <is>
          <t>TIME</t>
        </is>
      </c>
      <c r="F1" t="inlineStr">
        <is>
          <t>E</t>
        </is>
      </c>
      <c r="G1" t="inlineStr">
        <is>
          <t>Emm</t>
        </is>
      </c>
      <c r="H1" t="inlineStr">
        <is>
          <t>A</t>
        </is>
      </c>
      <c r="I1" t="inlineStr">
        <is>
          <t>Ca</t>
        </is>
      </c>
      <c r="J1" t="inlineStr">
        <is>
          <t>Ci</t>
        </is>
      </c>
      <c r="K1" t="inlineStr">
        <is>
          <t>Pci</t>
        </is>
      </c>
      <c r="L1" t="inlineStr">
        <is>
          <t>Pca</t>
        </is>
      </c>
      <c r="M1" t="inlineStr">
        <is>
          <t>gsw</t>
        </is>
      </c>
      <c r="N1" t="inlineStr">
        <is>
          <t>gbw</t>
        </is>
      </c>
      <c r="O1" t="inlineStr">
        <is>
          <t>gtw</t>
        </is>
      </c>
      <c r="P1" t="inlineStr">
        <is>
          <t>gtc</t>
        </is>
      </c>
      <c r="Q1" t="inlineStr">
        <is>
          <t>SVPleaf</t>
        </is>
      </c>
      <c r="R1" t="inlineStr">
        <is>
          <t>RHcham</t>
        </is>
      </c>
      <c r="S1" t="inlineStr">
        <is>
          <t>VPcham</t>
        </is>
      </c>
      <c r="T1" t="inlineStr">
        <is>
          <t>SVPcham</t>
        </is>
      </c>
      <c r="U1" t="inlineStr">
        <is>
          <t>PS2/1</t>
        </is>
      </c>
      <c r="V1" t="inlineStr">
        <is>
          <t>ID</t>
        </is>
      </c>
      <c r="W1" t="inlineStr">
        <is>
          <t>P1_dur</t>
        </is>
      </c>
      <c r="X1" t="inlineStr">
        <is>
          <t>P1_Fmax</t>
        </is>
      </c>
      <c r="Y1" t="inlineStr">
        <is>
          <t>T@P1_Fmax</t>
        </is>
      </c>
      <c r="Z1" t="inlineStr">
        <is>
          <t>Q@P1_Fmax</t>
        </is>
      </c>
      <c r="AA1" t="inlineStr">
        <is>
          <t>P1_PredF</t>
        </is>
      </c>
      <c r="AB1" t="inlineStr">
        <is>
          <t>P1_ΔF</t>
        </is>
      </c>
      <c r="AC1" t="inlineStr">
        <is>
          <t>P2_dur</t>
        </is>
      </c>
      <c r="AD1" t="inlineStr">
        <is>
          <t>P2_ramp</t>
        </is>
      </c>
      <c r="AE1" t="inlineStr">
        <is>
          <t>P2_int</t>
        </is>
      </c>
      <c r="AF1" t="inlineStr">
        <is>
          <t>P2_int_se</t>
        </is>
      </c>
      <c r="AG1" t="inlineStr">
        <is>
          <t>P2_slp</t>
        </is>
      </c>
      <c r="AH1" t="inlineStr">
        <is>
          <t>P2_slp_se</t>
        </is>
      </c>
      <c r="AI1" t="inlineStr">
        <is>
          <t>P2_R2</t>
        </is>
      </c>
      <c r="AJ1" t="inlineStr">
        <is>
          <t>P2_dQdt</t>
        </is>
      </c>
      <c r="AK1" t="inlineStr">
        <is>
          <t>P3_dur</t>
        </is>
      </c>
      <c r="AL1" t="inlineStr">
        <is>
          <t>P3_Fmax</t>
        </is>
      </c>
      <c r="AM1" t="inlineStr">
        <is>
          <t>T@P3_Fmax</t>
        </is>
      </c>
      <c r="AN1" t="inlineStr">
        <is>
          <t>Q@P3_Fmax</t>
        </is>
      </c>
      <c r="AO1" t="inlineStr">
        <is>
          <t>P3_PredF</t>
        </is>
      </c>
      <c r="AP1" t="inlineStr">
        <is>
          <t>P3_ΔF</t>
        </is>
      </c>
      <c r="AQ1" t="inlineStr">
        <is>
          <t>Qin</t>
        </is>
      </c>
      <c r="AR1" t="inlineStr">
        <is>
          <t>S</t>
        </is>
      </c>
      <c r="AS1" t="inlineStr">
        <is>
          <t>K</t>
        </is>
      </c>
      <c r="AT1" t="inlineStr">
        <is>
          <t>Custom</t>
        </is>
      </c>
      <c r="AU1" t="inlineStr">
        <is>
          <t>TIME_2</t>
        </is>
      </c>
      <c r="AV1" t="inlineStr">
        <is>
          <t>CO2_s</t>
        </is>
      </c>
      <c r="AW1" t="inlineStr">
        <is>
          <t>CO2_r</t>
        </is>
      </c>
      <c r="AX1" t="inlineStr">
        <is>
          <t>H2O_s</t>
        </is>
      </c>
      <c r="AY1" t="inlineStr">
        <is>
          <t>H2O_r</t>
        </is>
      </c>
      <c r="AZ1" t="inlineStr">
        <is>
          <t>CO2_a</t>
        </is>
      </c>
      <c r="BA1" t="inlineStr">
        <is>
          <t>H2O_a</t>
        </is>
      </c>
      <c r="BB1" t="inlineStr">
        <is>
          <t>Flow</t>
        </is>
      </c>
      <c r="BC1" t="inlineStr">
        <is>
          <t>Pa</t>
        </is>
      </c>
      <c r="BD1" t="inlineStr">
        <is>
          <t>ΔPcham</t>
        </is>
      </c>
      <c r="BE1" t="inlineStr">
        <is>
          <t>Tair</t>
        </is>
      </c>
      <c r="BF1" t="inlineStr">
        <is>
          <t>Tleaf</t>
        </is>
      </c>
      <c r="BG1" t="inlineStr">
        <is>
          <t>Tleaf2</t>
        </is>
      </c>
      <c r="BH1" t="inlineStr">
        <is>
          <t>Fan_speed</t>
        </is>
      </c>
      <c r="BI1" t="inlineStr">
        <is>
          <t>Qamb_out</t>
        </is>
      </c>
      <c r="BJ1" t="inlineStr">
        <is>
          <t>ΔCO2</t>
        </is>
      </c>
      <c r="BK1" t="inlineStr">
        <is>
          <t>CO2_s_d</t>
        </is>
      </c>
      <c r="BL1" t="inlineStr">
        <is>
          <t>CO2_r_d</t>
        </is>
      </c>
      <c r="BM1" t="inlineStr">
        <is>
          <t>ΔH2O</t>
        </is>
      </c>
      <c r="BN1" t="inlineStr">
        <is>
          <t>CO2_b</t>
        </is>
      </c>
      <c r="BO1" t="inlineStr">
        <is>
          <t>H2O_b</t>
        </is>
      </c>
      <c r="BP1" t="inlineStr">
        <is>
          <t>e_s</t>
        </is>
      </c>
      <c r="BQ1" t="inlineStr">
        <is>
          <t>e_r</t>
        </is>
      </c>
      <c r="BR1" t="inlineStr">
        <is>
          <t>Td_s</t>
        </is>
      </c>
      <c r="BS1" t="inlineStr">
        <is>
          <t>Td_r</t>
        </is>
      </c>
      <c r="BT1" t="inlineStr">
        <is>
          <t>Q</t>
        </is>
      </c>
      <c r="BU1" t="inlineStr">
        <is>
          <t>f_red</t>
        </is>
      </c>
      <c r="BV1" t="inlineStr">
        <is>
          <t>f_blue</t>
        </is>
      </c>
      <c r="BW1" t="inlineStr">
        <is>
          <t>F</t>
        </is>
      </c>
      <c r="BX1" t="inlineStr">
        <is>
          <t>Q_modavg</t>
        </is>
      </c>
      <c r="BY1" t="inlineStr">
        <is>
          <t>F_dc</t>
        </is>
      </c>
      <c r="BZ1" t="inlineStr">
        <is>
          <t>Pc</t>
        </is>
      </c>
      <c r="CA1" t="inlineStr">
        <is>
          <t>Tled</t>
        </is>
      </c>
      <c r="CB1" t="inlineStr">
        <is>
          <t>TDigital</t>
        </is>
      </c>
      <c r="CC1" t="inlineStr">
        <is>
          <t>TPreamp</t>
        </is>
      </c>
      <c r="CD1" t="inlineStr">
        <is>
          <t>TPwrSpy</t>
        </is>
      </c>
      <c r="CE1" t="inlineStr">
        <is>
          <t>TDrive</t>
        </is>
      </c>
      <c r="CF1" t="inlineStr">
        <is>
          <t>Q_red</t>
        </is>
      </c>
      <c r="CG1" t="inlineStr">
        <is>
          <t>Q_blue</t>
        </is>
      </c>
      <c r="CH1" t="inlineStr">
        <is>
          <t>TSPF</t>
        </is>
      </c>
      <c r="CI1" t="inlineStr">
        <is>
          <t>F_avg</t>
        </is>
      </c>
      <c r="CJ1" t="inlineStr">
        <is>
          <t>dF/dt</t>
        </is>
      </c>
      <c r="CK1" t="inlineStr">
        <is>
          <t>dF_dc/dt</t>
        </is>
      </c>
      <c r="CL1" t="inlineStr">
        <is>
          <t>F_dc_avg</t>
        </is>
      </c>
      <c r="CM1" t="inlineStr">
        <is>
          <t>period</t>
        </is>
      </c>
      <c r="CN1" t="inlineStr">
        <is>
          <t>time_2</t>
        </is>
      </c>
      <c r="CO1" t="inlineStr">
        <is>
          <t>co2_t</t>
        </is>
      </c>
      <c r="CP1" t="inlineStr">
        <is>
          <t>h2o_t</t>
        </is>
      </c>
      <c r="CQ1" t="inlineStr">
        <is>
          <t>count</t>
        </is>
      </c>
      <c r="CR1" t="inlineStr">
        <is>
          <t>co2_adj</t>
        </is>
      </c>
      <c r="CS1" t="inlineStr">
        <is>
          <t>h2o_adj</t>
        </is>
      </c>
      <c r="CT1" t="inlineStr">
        <is>
          <t>co2_match</t>
        </is>
      </c>
      <c r="CU1" t="inlineStr">
        <is>
          <t>h2o_match</t>
        </is>
      </c>
      <c r="CV1" t="inlineStr">
        <is>
          <t>co2_at</t>
        </is>
      </c>
      <c r="CW1" t="inlineStr">
        <is>
          <t>h2o_at</t>
        </is>
      </c>
      <c r="CX1" t="inlineStr">
        <is>
          <t>co2_cv</t>
        </is>
      </c>
      <c r="CY1" t="inlineStr">
        <is>
          <t>h2o_cv</t>
        </is>
      </c>
      <c r="CZ1" t="inlineStr">
        <is>
          <t>A:MN</t>
        </is>
      </c>
      <c r="DA1" t="inlineStr">
        <is>
          <t>A:SLP</t>
        </is>
      </c>
      <c r="DB1" t="inlineStr">
        <is>
          <t>A:SD</t>
        </is>
      </c>
      <c r="DC1" t="inlineStr">
        <is>
          <t>A:OK</t>
        </is>
      </c>
      <c r="DD1" t="inlineStr">
        <is>
          <t>ΔCO2:MN</t>
        </is>
      </c>
      <c r="DE1" t="inlineStr">
        <is>
          <t>ΔCO2:SLP</t>
        </is>
      </c>
      <c r="DF1" t="inlineStr">
        <is>
          <t>ΔCO2:SD</t>
        </is>
      </c>
      <c r="DG1" t="inlineStr">
        <is>
          <t>ΔCO2:OK</t>
        </is>
      </c>
      <c r="DH1" t="inlineStr">
        <is>
          <t>F:MN</t>
        </is>
      </c>
      <c r="DI1" t="inlineStr">
        <is>
          <t>F:SLP</t>
        </is>
      </c>
      <c r="DJ1" t="inlineStr">
        <is>
          <t>F:SD</t>
        </is>
      </c>
      <c r="DK1" t="inlineStr">
        <is>
          <t>F:OK</t>
        </is>
      </c>
      <c r="DL1" t="inlineStr">
        <is>
          <t>Stable</t>
        </is>
      </c>
      <c r="DM1" t="inlineStr">
        <is>
          <t>Total</t>
        </is>
      </c>
      <c r="DN1" t="inlineStr">
        <is>
          <t>Vflow</t>
        </is>
      </c>
      <c r="DO1" t="inlineStr">
        <is>
          <t>VPchamber</t>
        </is>
      </c>
      <c r="DP1" t="inlineStr">
        <is>
          <t>abs_c_a</t>
        </is>
      </c>
      <c r="DQ1" t="inlineStr">
        <is>
          <t>abs_c_b</t>
        </is>
      </c>
      <c r="DR1" t="inlineStr">
        <is>
          <t>abs_h_a</t>
        </is>
      </c>
      <c r="DS1" t="inlineStr">
        <is>
          <t>abs_h_b</t>
        </is>
      </c>
      <c r="DT1" t="inlineStr">
        <is>
          <t>Wc_s</t>
        </is>
      </c>
      <c r="DU1" t="inlineStr">
        <is>
          <t>Wc_r</t>
        </is>
      </c>
      <c r="DV1" t="inlineStr">
        <is>
          <t>Wco_s</t>
        </is>
      </c>
      <c r="DW1" t="inlineStr">
        <is>
          <t>Wco_r</t>
        </is>
      </c>
      <c r="DX1" t="inlineStr">
        <is>
          <t>Ww_s</t>
        </is>
      </c>
      <c r="DY1" t="inlineStr">
        <is>
          <t>Ww_r</t>
        </is>
      </c>
      <c r="DZ1" t="inlineStr">
        <is>
          <t>Wwo_s</t>
        </is>
      </c>
      <c r="EA1" t="inlineStr">
        <is>
          <t>Wwo_r</t>
        </is>
      </c>
      <c r="EB1" t="inlineStr">
        <is>
          <t>Flow_s_v</t>
        </is>
      </c>
      <c r="EC1" t="inlineStr">
        <is>
          <t>Flow_r_v</t>
        </is>
      </c>
      <c r="ED1" t="inlineStr">
        <is>
          <t>Tleaf_mv</t>
        </is>
      </c>
      <c r="EE1" t="inlineStr">
        <is>
          <t>Tleaf_j</t>
        </is>
      </c>
      <c r="EF1" t="inlineStr">
        <is>
          <t>Tleaf2_j</t>
        </is>
      </c>
      <c r="EG1" t="inlineStr">
        <is>
          <t>Console_RH</t>
        </is>
      </c>
      <c r="EH1" t="inlineStr">
        <is>
          <t>Console_T</t>
        </is>
      </c>
      <c r="EI1" t="inlineStr">
        <is>
          <t>Console_H2O</t>
        </is>
      </c>
      <c r="EJ1" t="inlineStr">
        <is>
          <t>Fan_%</t>
        </is>
      </c>
      <c r="EK1" t="inlineStr">
        <is>
          <t>Flow_%</t>
        </is>
      </c>
      <c r="EL1" t="inlineStr">
        <is>
          <t>Pump</t>
        </is>
      </c>
      <c r="EM1" t="inlineStr">
        <is>
          <t>Tchp_pwm</t>
        </is>
      </c>
      <c r="EN1" t="inlineStr">
        <is>
          <t>Txchg_pwm</t>
        </is>
      </c>
      <c r="EO1" t="inlineStr">
        <is>
          <t>diag_20v</t>
        </is>
      </c>
      <c r="EP1" t="inlineStr">
        <is>
          <t>diag_5_4v</t>
        </is>
      </c>
      <c r="EQ1" t="inlineStr">
        <is>
          <t>diag_12v</t>
        </is>
      </c>
      <c r="ER1" t="inlineStr">
        <is>
          <t>diag_5va</t>
        </is>
      </c>
      <c r="ES1" t="inlineStr">
        <is>
          <t>diag_3_3vf</t>
        </is>
      </c>
      <c r="ET1" t="inlineStr">
        <is>
          <t>AccCO2_soda</t>
        </is>
      </c>
      <c r="EU1" t="inlineStr">
        <is>
          <t>AccH2O_des</t>
        </is>
      </c>
      <c r="EV1" t="inlineStr">
        <is>
          <t>AccH2O_hum</t>
        </is>
      </c>
      <c r="EW1" t="inlineStr">
        <is>
          <t>CO2_hrs</t>
        </is>
      </c>
      <c r="EX1" t="inlineStr">
        <is>
          <t>ADC_CH1</t>
        </is>
      </c>
      <c r="EY1" t="inlineStr">
        <is>
          <t>ADC_CH2</t>
        </is>
      </c>
      <c r="EZ1" t="inlineStr">
        <is>
          <t>ADC_CH3</t>
        </is>
      </c>
      <c r="FA1" t="inlineStr">
        <is>
          <t>ADC_CH4</t>
        </is>
      </c>
      <c r="FB1" t="inlineStr">
        <is>
          <t>ADC_CH5</t>
        </is>
      </c>
      <c r="FC1" t="inlineStr">
        <is>
          <t>ADC_CH6</t>
        </is>
      </c>
      <c r="FD1" t="inlineStr">
        <is>
          <t>ADC_CH7</t>
        </is>
      </c>
      <c r="FE1" t="inlineStr">
        <is>
          <t>ADC_CH8</t>
        </is>
      </c>
      <c r="FF1" t="inlineStr">
        <is>
          <t>MatchValveR</t>
        </is>
      </c>
      <c r="FG1" t="inlineStr">
        <is>
          <t>MatchValveS</t>
        </is>
      </c>
      <c r="FH1" t="inlineStr">
        <is>
          <t>MatchCO2</t>
        </is>
      </c>
      <c r="FI1" t="inlineStr">
        <is>
          <t>MatchH2O</t>
        </is>
      </c>
      <c r="FJ1" t="inlineStr">
        <is>
          <t>cf_co2_a</t>
        </is>
      </c>
      <c r="FK1" t="inlineStr">
        <is>
          <t>cf_co2_b</t>
        </is>
      </c>
      <c r="FL1" t="inlineStr">
        <is>
          <t>cf_co2_c</t>
        </is>
      </c>
      <c r="FM1" t="inlineStr">
        <is>
          <t>cf_co2_d</t>
        </is>
      </c>
      <c r="FN1" t="inlineStr">
        <is>
          <t>cf_h2o_a</t>
        </is>
      </c>
      <c r="FO1" t="inlineStr">
        <is>
          <t>cf_h2o_b</t>
        </is>
      </c>
      <c r="FP1" t="inlineStr">
        <is>
          <t>cf_h2o_c</t>
        </is>
      </c>
      <c r="FQ1" t="inlineStr">
        <is>
          <t>cf_h2o_d</t>
        </is>
      </c>
      <c r="FR1" t="inlineStr">
        <is>
          <t>co2_fit_high</t>
        </is>
      </c>
      <c r="FS1" t="inlineStr">
        <is>
          <t>h2o_fit_low</t>
        </is>
      </c>
      <c r="FT1" t="inlineStr">
        <is>
          <t>h2o_fit_high</t>
        </is>
      </c>
      <c r="FU1" t="inlineStr">
        <is>
          <t>co2_elapsed</t>
        </is>
      </c>
      <c r="FV1" t="inlineStr">
        <is>
          <t>h2o_elapsed</t>
        </is>
      </c>
      <c r="FW1" t="inlineStr">
        <is>
          <t>CO2_f</t>
        </is>
      </c>
      <c r="FX1" t="inlineStr">
        <is>
          <t>CO2_f_s</t>
        </is>
      </c>
      <c r="FY1" t="inlineStr">
        <is>
          <t>Pump_f</t>
        </is>
      </c>
      <c r="FZ1" t="inlineStr">
        <is>
          <t>Pump_f_s</t>
        </is>
      </c>
      <c r="GA1" t="inlineStr">
        <is>
          <t>Pump_p</t>
        </is>
      </c>
      <c r="GB1" t="inlineStr">
        <is>
          <t>Pump_p_s</t>
        </is>
      </c>
      <c r="GC1" t="inlineStr">
        <is>
          <t>Tboard</t>
        </is>
      </c>
      <c r="GD1" t="inlineStr">
        <is>
          <t>V_system</t>
        </is>
      </c>
      <c r="GE1" t="inlineStr">
        <is>
          <t>DIAG</t>
        </is>
      </c>
      <c r="GF1" t="inlineStr">
        <is>
          <t>Flow_s</t>
        </is>
      </c>
      <c r="GG1" t="inlineStr">
        <is>
          <t>Flow_r</t>
        </is>
      </c>
      <c r="GH1" t="inlineStr">
        <is>
          <t>Txchg</t>
        </is>
      </c>
      <c r="GI1" t="inlineStr">
        <is>
          <t>Tirga</t>
        </is>
      </c>
      <c r="GJ1" t="inlineStr">
        <is>
          <t>Tchopper</t>
        </is>
      </c>
      <c r="GK1" t="inlineStr">
        <is>
          <t>Ts</t>
        </is>
      </c>
      <c r="GL1" t="inlineStr">
        <is>
          <t>Tr</t>
        </is>
      </c>
      <c r="GM1" t="inlineStr">
        <is>
          <t>CO2_%</t>
        </is>
      </c>
      <c r="GN1" t="inlineStr">
        <is>
          <t>Desiccant_%</t>
        </is>
      </c>
      <c r="GO1" t="inlineStr">
        <is>
          <t>Humidifier_%</t>
        </is>
      </c>
      <c r="GP1" t="inlineStr">
        <is>
          <t>Txchg_sp</t>
        </is>
      </c>
      <c r="GQ1" t="inlineStr">
        <is>
          <t>CO2_r_sp</t>
        </is>
      </c>
      <c r="GR1" t="inlineStr">
        <is>
          <t>H2O_r_sp</t>
        </is>
      </c>
      <c r="GS1" t="inlineStr">
        <is>
          <t>SS_s</t>
        </is>
      </c>
      <c r="GT1" t="inlineStr">
        <is>
          <t>SS_r</t>
        </is>
      </c>
    </row>
    <row r="2">
      <c r="A2" t="n">
        <v>1</v>
      </c>
      <c r="B2" t="n">
        <v>1792299995</v>
      </c>
      <c r="C2" t="n">
        <v>0</v>
      </c>
      <c r="D2" t="n">
        <v>5</v>
      </c>
      <c r="E2" t="n">
        <v>1792299992</v>
      </c>
      <c r="F2" t="n">
        <v>0.004623256293254206</v>
      </c>
      <c r="G2" t="n">
        <v>4.623256293254205</v>
      </c>
      <c r="H2" t="n">
        <v>15.94652610621733</v>
      </c>
      <c r="I2" t="n">
        <v>392.91</v>
      </c>
      <c r="J2" t="n">
        <v>305.9600894078797</v>
      </c>
      <c r="K2" t="n">
        <v>0.03089039102311492</v>
      </c>
      <c r="L2" t="n">
        <v>0.0396690416726604</v>
      </c>
      <c r="M2" t="n">
        <v>0.3403916153418927</v>
      </c>
      <c r="N2" t="n">
        <v>3.025384654920144</v>
      </c>
      <c r="O2" t="n">
        <v>0.3204563762259356</v>
      </c>
      <c r="P2" t="n">
        <v>0.201978975666939</v>
      </c>
      <c r="Q2" t="n">
        <v>3.178790512927224</v>
      </c>
      <c r="R2" t="n">
        <v>55.04328441779129</v>
      </c>
      <c r="S2" t="n">
        <v>1.757809736492295</v>
      </c>
      <c r="T2" t="n">
        <v>3.193504448517482</v>
      </c>
      <c r="U2" t="n">
        <v>0.5</v>
      </c>
      <c r="V2" t="n">
        <v>1166</v>
      </c>
      <c r="W2" t="n">
        <v>290</v>
      </c>
      <c r="X2" t="n">
        <v>1275.63</v>
      </c>
      <c r="Y2" t="n">
        <v>145</v>
      </c>
      <c r="Z2" t="n">
        <v>8135.53</v>
      </c>
      <c r="AA2" t="n">
        <v>1265.26</v>
      </c>
      <c r="AB2" t="n">
        <v>10.37</v>
      </c>
      <c r="AC2" t="n">
        <v>300</v>
      </c>
      <c r="AD2" t="n">
        <v>19.3</v>
      </c>
      <c r="AE2" t="n">
        <v>1332.45541265344</v>
      </c>
      <c r="AF2" t="n">
        <v>1.81080575079226</v>
      </c>
      <c r="AG2" t="n">
        <v>-54.6693079656955</v>
      </c>
      <c r="AH2" t="n">
        <v>1.31551974861254</v>
      </c>
      <c r="AI2" t="n">
        <v>0.984045586611453</v>
      </c>
      <c r="AJ2" t="n">
        <v>-0.00539105072302559</v>
      </c>
      <c r="AK2" t="n">
        <v>290</v>
      </c>
      <c r="AL2" t="n">
        <v>1248.3</v>
      </c>
      <c r="AM2" t="n">
        <v>615</v>
      </c>
      <c r="AN2" t="n">
        <v>8117.41</v>
      </c>
      <c r="AO2" t="n">
        <v>1265.11</v>
      </c>
      <c r="AP2" t="n">
        <v>-16.81</v>
      </c>
      <c r="AQ2" t="n">
        <v>1499.996</v>
      </c>
      <c r="AR2" t="n">
        <v>2</v>
      </c>
      <c r="AS2" t="n">
        <v>0.5</v>
      </c>
      <c r="AT2" t="n">
        <v>2</v>
      </c>
      <c r="AU2" t="n">
        <v>1792299992</v>
      </c>
      <c r="AV2" t="n">
        <v>392.91</v>
      </c>
      <c r="AW2" t="n">
        <v>400.0152</v>
      </c>
      <c r="AX2" t="n">
        <v>17.41058</v>
      </c>
      <c r="AY2" t="n">
        <v>15.59348</v>
      </c>
      <c r="AZ2" t="n">
        <v>392.1172</v>
      </c>
      <c r="BA2" t="n">
        <v>17.515</v>
      </c>
      <c r="BB2" t="n">
        <v>500.0014</v>
      </c>
      <c r="BC2" t="n">
        <v>100.8622</v>
      </c>
      <c r="BD2" t="n">
        <v>0.09995844</v>
      </c>
      <c r="BE2" t="n">
        <v>25.0728</v>
      </c>
      <c r="BF2" t="n">
        <v>24.99532</v>
      </c>
      <c r="BG2" t="n">
        <v>999.9</v>
      </c>
      <c r="BH2" t="n">
        <v>10000.25</v>
      </c>
      <c r="BI2" t="n">
        <v>5.94705</v>
      </c>
      <c r="BJ2" t="n">
        <v>-7.105064</v>
      </c>
      <c r="BK2" t="n">
        <v>399.8722</v>
      </c>
      <c r="BL2" t="n">
        <v>406.3518</v>
      </c>
      <c r="BM2" t="n">
        <v>1.817078</v>
      </c>
      <c r="BN2" t="n">
        <v>400.0152</v>
      </c>
      <c r="BO2" t="n">
        <v>15.59348</v>
      </c>
      <c r="BP2" t="n">
        <v>1.75607</v>
      </c>
      <c r="BQ2" t="n">
        <v>1.572794</v>
      </c>
      <c r="BR2" t="n">
        <v>15.40112</v>
      </c>
      <c r="BS2" t="n">
        <v>13.69478</v>
      </c>
      <c r="BT2" t="n">
        <v>1499.996</v>
      </c>
      <c r="BU2" t="n">
        <v>0.9730022</v>
      </c>
      <c r="BV2" t="n">
        <v>0.02699758</v>
      </c>
      <c r="BW2" t="n">
        <v>236.1896</v>
      </c>
      <c r="BX2" t="n">
        <v>5.00064</v>
      </c>
      <c r="BY2" t="n">
        <v>3803.874</v>
      </c>
      <c r="BZ2" t="n">
        <v>15439.18</v>
      </c>
      <c r="CA2" t="n">
        <v>41.1124</v>
      </c>
      <c r="CB2" t="n">
        <v>41.7996</v>
      </c>
      <c r="CC2" t="n">
        <v>41.4246</v>
      </c>
      <c r="CD2" t="n">
        <v>41.437</v>
      </c>
      <c r="CE2" t="n">
        <v>42.562</v>
      </c>
      <c r="CF2" t="n">
        <v>1454.636</v>
      </c>
      <c r="CG2" t="n">
        <v>40.36</v>
      </c>
      <c r="CH2" t="n">
        <v>1850.70000004768</v>
      </c>
      <c r="CI2" t="n">
        <v>236.19692</v>
      </c>
      <c r="CJ2" t="n">
        <v>0.0438461574826</v>
      </c>
      <c r="CK2" t="n">
        <v>6.83307692132203</v>
      </c>
      <c r="CL2" t="n">
        <v>3803.4844</v>
      </c>
      <c r="CM2" t="n">
        <v>15</v>
      </c>
      <c r="CN2" t="n">
        <v>1792299934</v>
      </c>
      <c r="CO2" t="n">
        <v>1792299928</v>
      </c>
      <c r="CP2" t="n">
        <v>1792299934</v>
      </c>
      <c r="CQ2" t="n">
        <v>41</v>
      </c>
      <c r="CR2" t="n">
        <v>-0.03</v>
      </c>
      <c r="CS2" t="n">
        <v>0</v>
      </c>
      <c r="CT2" t="n">
        <v>0.796</v>
      </c>
      <c r="CU2" t="n">
        <v>-0.17</v>
      </c>
      <c r="CV2" t="n">
        <v>400</v>
      </c>
      <c r="CW2" t="n">
        <v>16</v>
      </c>
      <c r="CX2" t="n">
        <v>0.25</v>
      </c>
      <c r="CY2" t="n">
        <v>0.04</v>
      </c>
      <c r="CZ2" t="n">
        <v>15.8293491707735</v>
      </c>
      <c r="DA2" t="n">
        <v>0.498887126120373</v>
      </c>
      <c r="DB2" t="n">
        <v>0.117279487490682</v>
      </c>
      <c r="DC2" t="n">
        <v>1</v>
      </c>
      <c r="DD2" t="n">
        <v>-7.0640855</v>
      </c>
      <c r="DE2" t="n">
        <v>-0.214179699248137</v>
      </c>
      <c r="DF2" t="n">
        <v>0.0484942643489929</v>
      </c>
      <c r="DG2" t="n">
        <v>1</v>
      </c>
      <c r="DH2" t="n">
        <v>236.181029411765</v>
      </c>
      <c r="DI2" t="n">
        <v>-0.218349884294754</v>
      </c>
      <c r="DJ2" t="n">
        <v>0.162874813944024</v>
      </c>
      <c r="DK2" t="n">
        <v>1</v>
      </c>
      <c r="DL2" t="n">
        <v>3</v>
      </c>
      <c r="DM2" t="n">
        <v>3</v>
      </c>
      <c r="DN2" t="n">
        <v>3.12325</v>
      </c>
      <c r="DO2" t="n">
        <v>2.76534</v>
      </c>
      <c r="DP2" t="n">
        <v>0.0862556</v>
      </c>
      <c r="DQ2" t="n">
        <v>0.08973689999999999</v>
      </c>
      <c r="DR2" t="n">
        <v>0.092681</v>
      </c>
      <c r="DS2" t="n">
        <v>0.08861040000000001</v>
      </c>
      <c r="DT2" t="n">
        <v>17790.4</v>
      </c>
      <c r="DU2" t="n">
        <v>26731</v>
      </c>
      <c r="DV2" t="n">
        <v>22751.4</v>
      </c>
      <c r="DW2" t="n">
        <v>30092.1</v>
      </c>
      <c r="DX2" t="n">
        <v>33862.6</v>
      </c>
      <c r="DY2" t="n">
        <v>34171.8</v>
      </c>
      <c r="DZ2" t="n">
        <v>43049.6</v>
      </c>
      <c r="EA2" t="n">
        <v>42864.8</v>
      </c>
      <c r="EB2" t="n">
        <v>1.97008</v>
      </c>
      <c r="EC2" t="n">
        <v>1.80483</v>
      </c>
      <c r="ED2" t="n">
        <v>0.0750758</v>
      </c>
      <c r="EE2" t="n">
        <v>23.7513</v>
      </c>
      <c r="EF2" t="n">
        <v>999.9</v>
      </c>
      <c r="EG2" t="n">
        <v>40.935</v>
      </c>
      <c r="EH2" t="n">
        <v>32.579</v>
      </c>
      <c r="EI2" t="n">
        <v>20.0239</v>
      </c>
      <c r="EJ2" t="n">
        <v>63.0414</v>
      </c>
      <c r="EK2" t="n">
        <v>36.3822</v>
      </c>
      <c r="EL2" t="n">
        <v>1</v>
      </c>
      <c r="EM2" t="n">
        <v>-0.04422</v>
      </c>
      <c r="EN2" t="n">
        <v>2.29536</v>
      </c>
      <c r="EO2" t="n">
        <v>20.2237</v>
      </c>
      <c r="EP2" t="n">
        <v>5.23436</v>
      </c>
      <c r="EQ2" t="n">
        <v>11.962</v>
      </c>
      <c r="ER2" t="n">
        <v>4.96915</v>
      </c>
      <c r="ES2" t="n">
        <v>3.29503</v>
      </c>
      <c r="ET2" t="n">
        <v>9999</v>
      </c>
      <c r="EU2" t="n">
        <v>9999</v>
      </c>
      <c r="EV2" t="n">
        <v>9999</v>
      </c>
      <c r="EW2" t="n">
        <v>999.9</v>
      </c>
      <c r="EX2" t="n">
        <v>4.96859</v>
      </c>
      <c r="EY2" t="n">
        <v>1.86248</v>
      </c>
      <c r="EZ2" t="n">
        <v>1.86401</v>
      </c>
      <c r="FA2" t="n">
        <v>1.86592</v>
      </c>
      <c r="FB2" t="n">
        <v>1.86295</v>
      </c>
      <c r="FC2" t="n">
        <v>1.86661</v>
      </c>
      <c r="FD2" t="n">
        <v>1.8634</v>
      </c>
      <c r="FE2" t="n">
        <v>1.86533</v>
      </c>
      <c r="FF2" t="n">
        <v>100</v>
      </c>
      <c r="FG2" t="n">
        <v>100</v>
      </c>
      <c r="FH2" t="n">
        <v>0.793</v>
      </c>
      <c r="FI2" t="n">
        <v>-0.1047</v>
      </c>
      <c r="FJ2" t="n">
        <v>0.6692596769265829</v>
      </c>
      <c r="FK2" t="n">
        <v>0.000216929631606078</v>
      </c>
      <c r="FL2" t="n">
        <v>2.72263024731635e-07</v>
      </c>
      <c r="FM2" t="n">
        <v>-5.43792051235154e-11</v>
      </c>
      <c r="FN2" t="n">
        <v>-0.015287467420821</v>
      </c>
      <c r="FO2" t="n">
        <v>-0.0584433849545669</v>
      </c>
      <c r="FP2" t="n">
        <v>0.00341568706061026</v>
      </c>
      <c r="FQ2" t="n">
        <v>-2.10952612506686e-05</v>
      </c>
      <c r="FR2" t="n">
        <v>1734</v>
      </c>
      <c r="FS2" t="n">
        <v>2</v>
      </c>
      <c r="FT2" t="n">
        <v>19</v>
      </c>
      <c r="FU2" t="n">
        <v>1.1</v>
      </c>
      <c r="FV2" t="n">
        <v>1</v>
      </c>
      <c r="FW2" t="n">
        <v>1.05469</v>
      </c>
      <c r="FX2" t="n">
        <v>2.56348</v>
      </c>
      <c r="FY2" t="n">
        <v>1.34644</v>
      </c>
      <c r="FZ2" t="n">
        <v>2.26074</v>
      </c>
      <c r="GA2" t="n">
        <v>1.55029</v>
      </c>
      <c r="GB2" t="n">
        <v>2.7063</v>
      </c>
      <c r="GC2" t="n">
        <v>36.5051</v>
      </c>
      <c r="GD2" t="n">
        <v>15.0952</v>
      </c>
      <c r="GE2" t="n">
        <v>18</v>
      </c>
      <c r="GF2" t="n">
        <v>501.738</v>
      </c>
      <c r="GG2" t="n">
        <v>472.555</v>
      </c>
      <c r="GH2" t="n">
        <v>21.5708</v>
      </c>
      <c r="GI2" t="n">
        <v>28.3469</v>
      </c>
      <c r="GJ2" t="n">
        <v>29.9999</v>
      </c>
      <c r="GK2" t="n">
        <v>28.3503</v>
      </c>
      <c r="GL2" t="n">
        <v>28.3666</v>
      </c>
      <c r="GM2" t="n">
        <v>21.1175</v>
      </c>
      <c r="GN2" t="n">
        <v>31.0891</v>
      </c>
      <c r="GO2" t="n">
        <v>25.4711</v>
      </c>
      <c r="GP2" t="n">
        <v>21.5738</v>
      </c>
      <c r="GQ2" t="n">
        <v>400</v>
      </c>
      <c r="GR2" t="n">
        <v>15.6178</v>
      </c>
      <c r="GS2" t="n">
        <v>101.649</v>
      </c>
      <c r="GT2" t="n">
        <v>97.3306</v>
      </c>
    </row>
    <row r="3">
      <c r="A3" t="n">
        <v>2</v>
      </c>
      <c r="B3" t="n">
        <v>1792300116</v>
      </c>
      <c r="C3" t="n">
        <v>121</v>
      </c>
      <c r="D3" t="n">
        <v>5</v>
      </c>
      <c r="E3" t="n">
        <v>1792300113</v>
      </c>
      <c r="F3" t="n">
        <v>0.00481190040735304</v>
      </c>
      <c r="G3" t="n">
        <v>4.81190040735304</v>
      </c>
      <c r="H3" t="n">
        <v>12.25189166294096</v>
      </c>
      <c r="I3" t="n">
        <v>294.5332</v>
      </c>
      <c r="J3" t="n">
        <v>230.5858313272784</v>
      </c>
      <c r="K3" t="n">
        <v>0.02327967961460962</v>
      </c>
      <c r="L3" t="n">
        <v>0.0297357322104231</v>
      </c>
      <c r="M3" t="n">
        <v>0.3570728335870431</v>
      </c>
      <c r="N3" t="n">
        <v>3.024087983950407</v>
      </c>
      <c r="O3" t="n">
        <v>0.3351944221898906</v>
      </c>
      <c r="P3" t="n">
        <v>0.2113503993023958</v>
      </c>
      <c r="Q3" t="n">
        <v>3.176766967458636</v>
      </c>
      <c r="R3" t="n">
        <v>55.1433374334969</v>
      </c>
      <c r="S3" t="n">
        <v>1.762902998933648</v>
      </c>
      <c r="T3" t="n">
        <v>3.196946505205124</v>
      </c>
      <c r="U3" t="n">
        <v>0.5</v>
      </c>
      <c r="V3" t="n">
        <v>1166</v>
      </c>
      <c r="W3" t="n">
        <v>290</v>
      </c>
      <c r="X3" t="n">
        <v>1275.63</v>
      </c>
      <c r="Y3" t="n">
        <v>145</v>
      </c>
      <c r="Z3" t="n">
        <v>8135.53</v>
      </c>
      <c r="AA3" t="n">
        <v>1265.26</v>
      </c>
      <c r="AB3" t="n">
        <v>10.37</v>
      </c>
      <c r="AC3" t="n">
        <v>300</v>
      </c>
      <c r="AD3" t="n">
        <v>19.3</v>
      </c>
      <c r="AE3" t="n">
        <v>1332.45541265344</v>
      </c>
      <c r="AF3" t="n">
        <v>1.81080575079226</v>
      </c>
      <c r="AG3" t="n">
        <v>-54.6693079656955</v>
      </c>
      <c r="AH3" t="n">
        <v>1.31551974861254</v>
      </c>
      <c r="AI3" t="n">
        <v>0.984045586611453</v>
      </c>
      <c r="AJ3" t="n">
        <v>-0.00539105072302559</v>
      </c>
      <c r="AK3" t="n">
        <v>290</v>
      </c>
      <c r="AL3" t="n">
        <v>1248.3</v>
      </c>
      <c r="AM3" t="n">
        <v>615</v>
      </c>
      <c r="AN3" t="n">
        <v>8117.41</v>
      </c>
      <c r="AO3" t="n">
        <v>1265.11</v>
      </c>
      <c r="AP3" t="n">
        <v>-16.81</v>
      </c>
      <c r="AQ3" t="n">
        <v>1499.99</v>
      </c>
      <c r="AR3" t="n">
        <v>2</v>
      </c>
      <c r="AS3" t="n">
        <v>0.5</v>
      </c>
      <c r="AT3" t="n">
        <v>2</v>
      </c>
      <c r="AU3" t="n">
        <v>1792300113</v>
      </c>
      <c r="AV3" t="n">
        <v>294.5332</v>
      </c>
      <c r="AW3" t="n">
        <v>300.0006</v>
      </c>
      <c r="AX3" t="n">
        <v>17.4616</v>
      </c>
      <c r="AY3" t="n">
        <v>15.57054</v>
      </c>
      <c r="AZ3" t="n">
        <v>293.9752</v>
      </c>
      <c r="BA3" t="n">
        <v>17.56376</v>
      </c>
      <c r="BB3" t="n">
        <v>500.024</v>
      </c>
      <c r="BC3" t="n">
        <v>100.8588</v>
      </c>
      <c r="BD3" t="n">
        <v>0.10004678</v>
      </c>
      <c r="BE3" t="n">
        <v>25.09088</v>
      </c>
      <c r="BF3" t="n">
        <v>24.98464</v>
      </c>
      <c r="BG3" t="n">
        <v>999.9</v>
      </c>
      <c r="BH3" t="n">
        <v>9992.752</v>
      </c>
      <c r="BI3" t="n">
        <v>5.990698</v>
      </c>
      <c r="BJ3" t="n">
        <v>-5.467626</v>
      </c>
      <c r="BK3" t="n">
        <v>299.7676</v>
      </c>
      <c r="BL3" t="n">
        <v>304.7456</v>
      </c>
      <c r="BM3" t="n">
        <v>1.891088</v>
      </c>
      <c r="BN3" t="n">
        <v>300.0006</v>
      </c>
      <c r="BO3" t="n">
        <v>15.57054</v>
      </c>
      <c r="BP3" t="n">
        <v>1.761158</v>
      </c>
      <c r="BQ3" t="n">
        <v>1.570426</v>
      </c>
      <c r="BR3" t="n">
        <v>15.44624</v>
      </c>
      <c r="BS3" t="n">
        <v>13.67162</v>
      </c>
      <c r="BT3" t="n">
        <v>1499.99</v>
      </c>
      <c r="BU3" t="n">
        <v>0.973003</v>
      </c>
      <c r="BV3" t="n">
        <v>0.0269968</v>
      </c>
      <c r="BW3" t="n">
        <v>224.495</v>
      </c>
      <c r="BX3" t="n">
        <v>5.00064</v>
      </c>
      <c r="BY3" t="n">
        <v>3620.162</v>
      </c>
      <c r="BZ3" t="n">
        <v>15439.14</v>
      </c>
      <c r="CA3" t="n">
        <v>41.125</v>
      </c>
      <c r="CB3" t="n">
        <v>41.875</v>
      </c>
      <c r="CC3" t="n">
        <v>41.5</v>
      </c>
      <c r="CD3" t="n">
        <v>41.4622</v>
      </c>
      <c r="CE3" t="n">
        <v>42.625</v>
      </c>
      <c r="CF3" t="n">
        <v>1454.63</v>
      </c>
      <c r="CG3" t="n">
        <v>40.36</v>
      </c>
      <c r="CH3" t="n">
        <v>1971.90000009537</v>
      </c>
      <c r="CI3" t="n">
        <v>224.4264</v>
      </c>
      <c r="CJ3" t="n">
        <v>0.368615391743355</v>
      </c>
      <c r="CK3" t="n">
        <v>-5.38692309184422</v>
      </c>
      <c r="CL3" t="n">
        <v>3620.2988</v>
      </c>
      <c r="CM3" t="n">
        <v>15</v>
      </c>
      <c r="CN3" t="n">
        <v>1792300065</v>
      </c>
      <c r="CO3" t="n">
        <v>1792300064</v>
      </c>
      <c r="CP3" t="n">
        <v>1792300065</v>
      </c>
      <c r="CQ3" t="n">
        <v>42</v>
      </c>
      <c r="CR3" t="n">
        <v>-0.198</v>
      </c>
      <c r="CS3" t="n">
        <v>0</v>
      </c>
      <c r="CT3" t="n">
        <v>0.5600000000000001</v>
      </c>
      <c r="CU3" t="n">
        <v>-0.17</v>
      </c>
      <c r="CV3" t="n">
        <v>300</v>
      </c>
      <c r="CW3" t="n">
        <v>16</v>
      </c>
      <c r="CX3" t="n">
        <v>0.32</v>
      </c>
      <c r="CY3" t="n">
        <v>0.03</v>
      </c>
      <c r="CZ3" t="n">
        <v>12.2792995410206</v>
      </c>
      <c r="DA3" t="n">
        <v>-0.0164572790582192</v>
      </c>
      <c r="DB3" t="n">
        <v>0.142293650978309</v>
      </c>
      <c r="DC3" t="n">
        <v>1</v>
      </c>
      <c r="DD3" t="n">
        <v>-5.48449904761905</v>
      </c>
      <c r="DE3" t="n">
        <v>0.0492592207792071</v>
      </c>
      <c r="DF3" t="n">
        <v>0.0560584166319693</v>
      </c>
      <c r="DG3" t="n">
        <v>1</v>
      </c>
      <c r="DH3" t="n">
        <v>224.426676470588</v>
      </c>
      <c r="DI3" t="n">
        <v>0.334071815902052</v>
      </c>
      <c r="DJ3" t="n">
        <v>0.19229415588505</v>
      </c>
      <c r="DK3" t="n">
        <v>1</v>
      </c>
      <c r="DL3" t="n">
        <v>3</v>
      </c>
      <c r="DM3" t="n">
        <v>3</v>
      </c>
      <c r="DN3" t="n">
        <v>3.1232</v>
      </c>
      <c r="DO3" t="n">
        <v>2.76518</v>
      </c>
      <c r="DP3" t="n">
        <v>0.0687157</v>
      </c>
      <c r="DQ3" t="n">
        <v>0.0715797</v>
      </c>
      <c r="DR3" t="n">
        <v>0.0928766</v>
      </c>
      <c r="DS3" t="n">
        <v>0.0885157</v>
      </c>
      <c r="DT3" t="n">
        <v>18134.1</v>
      </c>
      <c r="DU3" t="n">
        <v>27267</v>
      </c>
      <c r="DV3" t="n">
        <v>22754.1</v>
      </c>
      <c r="DW3" t="n">
        <v>30094.9</v>
      </c>
      <c r="DX3" t="n">
        <v>33857.3</v>
      </c>
      <c r="DY3" t="n">
        <v>34177.4</v>
      </c>
      <c r="DZ3" t="n">
        <v>43053.8</v>
      </c>
      <c r="EA3" t="n">
        <v>42868.8</v>
      </c>
      <c r="EB3" t="n">
        <v>1.96983</v>
      </c>
      <c r="EC3" t="n">
        <v>1.80525</v>
      </c>
      <c r="ED3" t="n">
        <v>0.0758432</v>
      </c>
      <c r="EE3" t="n">
        <v>23.74</v>
      </c>
      <c r="EF3" t="n">
        <v>999.9</v>
      </c>
      <c r="EG3" t="n">
        <v>40.77</v>
      </c>
      <c r="EH3" t="n">
        <v>32.579</v>
      </c>
      <c r="EI3" t="n">
        <v>19.943</v>
      </c>
      <c r="EJ3" t="n">
        <v>63.2715</v>
      </c>
      <c r="EK3" t="n">
        <v>36.3582</v>
      </c>
      <c r="EL3" t="n">
        <v>1</v>
      </c>
      <c r="EM3" t="n">
        <v>0.0837271</v>
      </c>
      <c r="EN3" t="n">
        <v>2.167</v>
      </c>
      <c r="EO3" t="n">
        <v>20.2236</v>
      </c>
      <c r="EP3" t="n">
        <v>5.22972</v>
      </c>
      <c r="EQ3" t="n">
        <v>11.962</v>
      </c>
      <c r="ER3" t="n">
        <v>4.96925</v>
      </c>
      <c r="ES3" t="n">
        <v>3.29505</v>
      </c>
      <c r="ET3" t="n">
        <v>9999</v>
      </c>
      <c r="EU3" t="n">
        <v>9999</v>
      </c>
      <c r="EV3" t="n">
        <v>9999</v>
      </c>
      <c r="EW3" t="n">
        <v>999.9</v>
      </c>
      <c r="EX3" t="n">
        <v>4.96857</v>
      </c>
      <c r="EY3" t="n">
        <v>1.86249</v>
      </c>
      <c r="EZ3" t="n">
        <v>1.864</v>
      </c>
      <c r="FA3" t="n">
        <v>1.86585</v>
      </c>
      <c r="FB3" t="n">
        <v>1.86295</v>
      </c>
      <c r="FC3" t="n">
        <v>1.86661</v>
      </c>
      <c r="FD3" t="n">
        <v>1.8634</v>
      </c>
      <c r="FE3" t="n">
        <v>1.86532</v>
      </c>
      <c r="FF3" t="n">
        <v>100</v>
      </c>
      <c r="FG3" t="n">
        <v>100</v>
      </c>
      <c r="FH3" t="n">
        <v>0.5580000000000001</v>
      </c>
      <c r="FI3" t="n">
        <v>-0.1024</v>
      </c>
      <c r="FJ3" t="n">
        <v>0.471886372826419</v>
      </c>
      <c r="FK3" t="n">
        <v>0.000216929631606078</v>
      </c>
      <c r="FL3" t="n">
        <v>2.72263024731635e-07</v>
      </c>
      <c r="FM3" t="n">
        <v>-5.43792051235154e-11</v>
      </c>
      <c r="FN3" t="n">
        <v>-0.0150524569206377</v>
      </c>
      <c r="FO3" t="n">
        <v>-0.0584433849545669</v>
      </c>
      <c r="FP3" t="n">
        <v>0.00341568706061026</v>
      </c>
      <c r="FQ3" t="n">
        <v>-2.10952612506686e-05</v>
      </c>
      <c r="FR3" t="n">
        <v>1734</v>
      </c>
      <c r="FS3" t="n">
        <v>2</v>
      </c>
      <c r="FT3" t="n">
        <v>19</v>
      </c>
      <c r="FU3" t="n">
        <v>0.9</v>
      </c>
      <c r="FV3" t="n">
        <v>0.8</v>
      </c>
      <c r="FW3" t="n">
        <v>0.847168</v>
      </c>
      <c r="FX3" t="n">
        <v>2.55981</v>
      </c>
      <c r="FY3" t="n">
        <v>1.34644</v>
      </c>
      <c r="FZ3" t="n">
        <v>2.26196</v>
      </c>
      <c r="GA3" t="n">
        <v>1.55029</v>
      </c>
      <c r="GB3" t="n">
        <v>2.59888</v>
      </c>
      <c r="GC3" t="n">
        <v>36.4814</v>
      </c>
      <c r="GD3" t="n">
        <v>15.0689</v>
      </c>
      <c r="GE3" t="n">
        <v>18</v>
      </c>
      <c r="GF3" t="n">
        <v>501.385</v>
      </c>
      <c r="GG3" t="n">
        <v>472.638</v>
      </c>
      <c r="GH3" t="n">
        <v>21.6038</v>
      </c>
      <c r="GI3" t="n">
        <v>28.3227</v>
      </c>
      <c r="GJ3" t="n">
        <v>30.0001</v>
      </c>
      <c r="GK3" t="n">
        <v>28.3275</v>
      </c>
      <c r="GL3" t="n">
        <v>28.3426</v>
      </c>
      <c r="GM3" t="n">
        <v>16.9904</v>
      </c>
      <c r="GN3" t="n">
        <v>30.9868</v>
      </c>
      <c r="GO3" t="n">
        <v>24.351</v>
      </c>
      <c r="GP3" t="n">
        <v>21.6093</v>
      </c>
      <c r="GQ3" t="n">
        <v>300</v>
      </c>
      <c r="GR3" t="n">
        <v>15.5201</v>
      </c>
      <c r="GS3" t="n">
        <v>101.659</v>
      </c>
      <c r="GT3" t="n">
        <v>97.3398</v>
      </c>
    </row>
    <row r="4">
      <c r="A4" t="n">
        <v>3</v>
      </c>
      <c r="B4" t="n">
        <v>1792300237</v>
      </c>
      <c r="C4" t="n">
        <v>242</v>
      </c>
      <c r="D4" t="n">
        <v>5</v>
      </c>
      <c r="E4" t="n">
        <v>1792300234</v>
      </c>
      <c r="F4" t="n">
        <v>0.005023633097686542</v>
      </c>
      <c r="G4" t="n">
        <v>5.023633097686543</v>
      </c>
      <c r="H4" t="n">
        <v>7.495290749071131</v>
      </c>
      <c r="I4" t="n">
        <v>196.5844</v>
      </c>
      <c r="J4" t="n">
        <v>158.5608564330606</v>
      </c>
      <c r="K4" t="n">
        <v>0.01600954740458143</v>
      </c>
      <c r="L4" t="n">
        <v>0.01984870252091416</v>
      </c>
      <c r="M4" t="n">
        <v>0.3735696900692522</v>
      </c>
      <c r="N4" t="n">
        <v>3.025498648209</v>
      </c>
      <c r="O4" t="n">
        <v>0.3497058741334018</v>
      </c>
      <c r="P4" t="n">
        <v>0.2205830833903522</v>
      </c>
      <c r="Q4" t="n">
        <v>3.179700338387953</v>
      </c>
      <c r="R4" t="n">
        <v>55.07016458020865</v>
      </c>
      <c r="S4" t="n">
        <v>1.764780551407696</v>
      </c>
      <c r="T4" t="n">
        <v>3.204603735725769</v>
      </c>
      <c r="U4" t="n">
        <v>0.5</v>
      </c>
      <c r="V4" t="n">
        <v>1166</v>
      </c>
      <c r="W4" t="n">
        <v>290</v>
      </c>
      <c r="X4" t="n">
        <v>1275.63</v>
      </c>
      <c r="Y4" t="n">
        <v>145</v>
      </c>
      <c r="Z4" t="n">
        <v>8135.53</v>
      </c>
      <c r="AA4" t="n">
        <v>1265.26</v>
      </c>
      <c r="AB4" t="n">
        <v>10.37</v>
      </c>
      <c r="AC4" t="n">
        <v>300</v>
      </c>
      <c r="AD4" t="n">
        <v>19.3</v>
      </c>
      <c r="AE4" t="n">
        <v>1332.45541265344</v>
      </c>
      <c r="AF4" t="n">
        <v>1.81080575079226</v>
      </c>
      <c r="AG4" t="n">
        <v>-54.6693079656955</v>
      </c>
      <c r="AH4" t="n">
        <v>1.31551974861254</v>
      </c>
      <c r="AI4" t="n">
        <v>0.984045586611453</v>
      </c>
      <c r="AJ4" t="n">
        <v>-0.00539105072302559</v>
      </c>
      <c r="AK4" t="n">
        <v>290</v>
      </c>
      <c r="AL4" t="n">
        <v>1248.3</v>
      </c>
      <c r="AM4" t="n">
        <v>615</v>
      </c>
      <c r="AN4" t="n">
        <v>8117.41</v>
      </c>
      <c r="AO4" t="n">
        <v>1265.11</v>
      </c>
      <c r="AP4" t="n">
        <v>-16.81</v>
      </c>
      <c r="AQ4" t="n">
        <v>1499.992</v>
      </c>
      <c r="AR4" t="n">
        <v>2</v>
      </c>
      <c r="AS4" t="n">
        <v>0.5</v>
      </c>
      <c r="AT4" t="n">
        <v>2</v>
      </c>
      <c r="AU4" t="n">
        <v>1792300234</v>
      </c>
      <c r="AV4" t="n">
        <v>196.5844</v>
      </c>
      <c r="AW4" t="n">
        <v>199.9778</v>
      </c>
      <c r="AX4" t="n">
        <v>17.47864</v>
      </c>
      <c r="AY4" t="n">
        <v>15.50416</v>
      </c>
      <c r="AZ4" t="n">
        <v>196.1944</v>
      </c>
      <c r="BA4" t="n">
        <v>17.58266</v>
      </c>
      <c r="BB4" t="n">
        <v>499.9622</v>
      </c>
      <c r="BC4" t="n">
        <v>100.868</v>
      </c>
      <c r="BD4" t="n">
        <v>0.0998414</v>
      </c>
      <c r="BE4" t="n">
        <v>25.13104</v>
      </c>
      <c r="BF4" t="n">
        <v>25.00012</v>
      </c>
      <c r="BG4" t="n">
        <v>999.9</v>
      </c>
      <c r="BH4" t="n">
        <v>10000.364</v>
      </c>
      <c r="BI4" t="n">
        <v>6.00052</v>
      </c>
      <c r="BJ4" t="n">
        <v>-3.39343</v>
      </c>
      <c r="BK4" t="n">
        <v>200.0814</v>
      </c>
      <c r="BL4" t="n">
        <v>203.127</v>
      </c>
      <c r="BM4" t="n">
        <v>1.974496</v>
      </c>
      <c r="BN4" t="n">
        <v>199.9778</v>
      </c>
      <c r="BO4" t="n">
        <v>15.50416</v>
      </c>
      <c r="BP4" t="n">
        <v>1.76303</v>
      </c>
      <c r="BQ4" t="n">
        <v>1.56387</v>
      </c>
      <c r="BR4" t="n">
        <v>15.4628</v>
      </c>
      <c r="BS4" t="n">
        <v>13.6073</v>
      </c>
      <c r="BT4" t="n">
        <v>1499.992</v>
      </c>
      <c r="BU4" t="n">
        <v>0.973003</v>
      </c>
      <c r="BV4" t="n">
        <v>0.0269968</v>
      </c>
      <c r="BW4" t="n">
        <v>215.5082</v>
      </c>
      <c r="BX4" t="n">
        <v>5.00064</v>
      </c>
      <c r="BY4" t="n">
        <v>3481.494</v>
      </c>
      <c r="BZ4" t="n">
        <v>15439.14</v>
      </c>
      <c r="CA4" t="n">
        <v>41.125</v>
      </c>
      <c r="CB4" t="n">
        <v>41.875</v>
      </c>
      <c r="CC4" t="n">
        <v>41.5</v>
      </c>
      <c r="CD4" t="n">
        <v>41.4874</v>
      </c>
      <c r="CE4" t="n">
        <v>42.625</v>
      </c>
      <c r="CF4" t="n">
        <v>1454.632</v>
      </c>
      <c r="CG4" t="n">
        <v>40.36</v>
      </c>
      <c r="CH4" t="n">
        <v>2092.5</v>
      </c>
      <c r="CI4" t="n">
        <v>215.616346153846</v>
      </c>
      <c r="CJ4" t="n">
        <v>-0.770769222327308</v>
      </c>
      <c r="CK4" t="n">
        <v>-3.43247863911886</v>
      </c>
      <c r="CL4" t="n">
        <v>3481.79846153846</v>
      </c>
      <c r="CM4" t="n">
        <v>15</v>
      </c>
      <c r="CN4" t="n">
        <v>1792300178</v>
      </c>
      <c r="CO4" t="n">
        <v>1792300174</v>
      </c>
      <c r="CP4" t="n">
        <v>1792300178</v>
      </c>
      <c r="CQ4" t="n">
        <v>43</v>
      </c>
      <c r="CR4" t="n">
        <v>-0.134</v>
      </c>
      <c r="CS4" t="n">
        <v>-0.003</v>
      </c>
      <c r="CT4" t="n">
        <v>0.391</v>
      </c>
      <c r="CU4" t="n">
        <v>-0.175</v>
      </c>
      <c r="CV4" t="n">
        <v>200</v>
      </c>
      <c r="CW4" t="n">
        <v>16</v>
      </c>
      <c r="CX4" t="n">
        <v>0.27</v>
      </c>
      <c r="CY4" t="n">
        <v>0.03</v>
      </c>
      <c r="CZ4" t="n">
        <v>7.53081333235059</v>
      </c>
      <c r="DA4" t="n">
        <v>0.307339971281126</v>
      </c>
      <c r="DB4" t="n">
        <v>0.104932495892565</v>
      </c>
      <c r="DC4" t="n">
        <v>1</v>
      </c>
      <c r="DD4" t="n">
        <v>-3.404425</v>
      </c>
      <c r="DE4" t="n">
        <v>-0.169836992481199</v>
      </c>
      <c r="DF4" t="n">
        <v>0.041766253183641</v>
      </c>
      <c r="DG4" t="n">
        <v>1</v>
      </c>
      <c r="DH4" t="n">
        <v>215.647735294118</v>
      </c>
      <c r="DI4" t="n">
        <v>-0.7443697417237261</v>
      </c>
      <c r="DJ4" t="n">
        <v>0.177566111768106</v>
      </c>
      <c r="DK4" t="n">
        <v>1</v>
      </c>
      <c r="DL4" t="n">
        <v>3</v>
      </c>
      <c r="DM4" t="n">
        <v>3</v>
      </c>
      <c r="DN4" t="n">
        <v>3.12332</v>
      </c>
      <c r="DO4" t="n">
        <v>2.76528</v>
      </c>
      <c r="DP4" t="n">
        <v>0.0488715</v>
      </c>
      <c r="DQ4" t="n">
        <v>0.0509392</v>
      </c>
      <c r="DR4" t="n">
        <v>0.0929567</v>
      </c>
      <c r="DS4" t="n">
        <v>0.0882144</v>
      </c>
      <c r="DT4" t="n">
        <v>18522.1</v>
      </c>
      <c r="DU4" t="n">
        <v>27875.8</v>
      </c>
      <c r="DV4" t="n">
        <v>22755.7</v>
      </c>
      <c r="DW4" t="n">
        <v>30097.6</v>
      </c>
      <c r="DX4" t="n">
        <v>33855</v>
      </c>
      <c r="DY4" t="n">
        <v>34190.4</v>
      </c>
      <c r="DZ4" t="n">
        <v>43056.5</v>
      </c>
      <c r="EA4" t="n">
        <v>42872.7</v>
      </c>
      <c r="EB4" t="n">
        <v>1.97012</v>
      </c>
      <c r="EC4" t="n">
        <v>1.80578</v>
      </c>
      <c r="ED4" t="n">
        <v>0.0759512</v>
      </c>
      <c r="EE4" t="n">
        <v>23.7353</v>
      </c>
      <c r="EF4" t="n">
        <v>999.9</v>
      </c>
      <c r="EG4" t="n">
        <v>40.606</v>
      </c>
      <c r="EH4" t="n">
        <v>32.579</v>
      </c>
      <c r="EI4" t="n">
        <v>19.8617</v>
      </c>
      <c r="EJ4" t="n">
        <v>63.1115</v>
      </c>
      <c r="EK4" t="n">
        <v>35.9776</v>
      </c>
      <c r="EL4" t="n">
        <v>1</v>
      </c>
      <c r="EM4" t="n">
        <v>0.0811128</v>
      </c>
      <c r="EN4" t="n">
        <v>2.23014</v>
      </c>
      <c r="EO4" t="n">
        <v>20.223</v>
      </c>
      <c r="EP4" t="n">
        <v>5.23466</v>
      </c>
      <c r="EQ4" t="n">
        <v>11.962</v>
      </c>
      <c r="ER4" t="n">
        <v>4.96835</v>
      </c>
      <c r="ES4" t="n">
        <v>3.295</v>
      </c>
      <c r="ET4" t="n">
        <v>9999</v>
      </c>
      <c r="EU4" t="n">
        <v>9999</v>
      </c>
      <c r="EV4" t="n">
        <v>9999</v>
      </c>
      <c r="EW4" t="n">
        <v>999.9</v>
      </c>
      <c r="EX4" t="n">
        <v>4.96858</v>
      </c>
      <c r="EY4" t="n">
        <v>1.86242</v>
      </c>
      <c r="EZ4" t="n">
        <v>1.86396</v>
      </c>
      <c r="FA4" t="n">
        <v>1.86589</v>
      </c>
      <c r="FB4" t="n">
        <v>1.86295</v>
      </c>
      <c r="FC4" t="n">
        <v>1.86661</v>
      </c>
      <c r="FD4" t="n">
        <v>1.8634</v>
      </c>
      <c r="FE4" t="n">
        <v>1.8653</v>
      </c>
      <c r="FF4" t="n">
        <v>100</v>
      </c>
      <c r="FG4" t="n">
        <v>100</v>
      </c>
      <c r="FH4" t="n">
        <v>0.389</v>
      </c>
      <c r="FI4" t="n">
        <v>-0.1043</v>
      </c>
      <c r="FJ4" t="n">
        <v>0.337314096952365</v>
      </c>
      <c r="FK4" t="n">
        <v>0.000216929631606078</v>
      </c>
      <c r="FL4" t="n">
        <v>2.72263024731635e-07</v>
      </c>
      <c r="FM4" t="n">
        <v>-5.43792051235154e-11</v>
      </c>
      <c r="FN4" t="n">
        <v>-0.0177339848629115</v>
      </c>
      <c r="FO4" t="n">
        <v>-0.0584433849545669</v>
      </c>
      <c r="FP4" t="n">
        <v>0.00341568706061026</v>
      </c>
      <c r="FQ4" t="n">
        <v>-2.10952612506686e-05</v>
      </c>
      <c r="FR4" t="n">
        <v>1734</v>
      </c>
      <c r="FS4" t="n">
        <v>2</v>
      </c>
      <c r="FT4" t="n">
        <v>19</v>
      </c>
      <c r="FU4" t="n">
        <v>1.1</v>
      </c>
      <c r="FV4" t="n">
        <v>1</v>
      </c>
      <c r="FW4" t="n">
        <v>0.633545</v>
      </c>
      <c r="FX4" t="n">
        <v>2.56714</v>
      </c>
      <c r="FY4" t="n">
        <v>1.34644</v>
      </c>
      <c r="FZ4" t="n">
        <v>2.26074</v>
      </c>
      <c r="GA4" t="n">
        <v>1.55029</v>
      </c>
      <c r="GB4" t="n">
        <v>2.59888</v>
      </c>
      <c r="GC4" t="n">
        <v>36.4814</v>
      </c>
      <c r="GD4" t="n">
        <v>15.0426</v>
      </c>
      <c r="GE4" t="n">
        <v>18</v>
      </c>
      <c r="GF4" t="n">
        <v>501.312</v>
      </c>
      <c r="GG4" t="n">
        <v>472.747</v>
      </c>
      <c r="GH4" t="n">
        <v>21.6552</v>
      </c>
      <c r="GI4" t="n">
        <v>28.289</v>
      </c>
      <c r="GJ4" t="n">
        <v>29.9999</v>
      </c>
      <c r="GK4" t="n">
        <v>28.2974</v>
      </c>
      <c r="GL4" t="n">
        <v>28.3138</v>
      </c>
      <c r="GM4" t="n">
        <v>12.6971</v>
      </c>
      <c r="GN4" t="n">
        <v>30.6788</v>
      </c>
      <c r="GO4" t="n">
        <v>23.6038</v>
      </c>
      <c r="GP4" t="n">
        <v>21.6514</v>
      </c>
      <c r="GQ4" t="n">
        <v>200</v>
      </c>
      <c r="GR4" t="n">
        <v>15.4871</v>
      </c>
      <c r="GS4" t="n">
        <v>101.666</v>
      </c>
      <c r="GT4" t="n">
        <v>97.3485</v>
      </c>
    </row>
    <row r="5">
      <c r="A5" t="n">
        <v>4</v>
      </c>
      <c r="B5" t="n">
        <v>1792300358.1</v>
      </c>
      <c r="C5" t="n">
        <v>363.099999904633</v>
      </c>
      <c r="D5" t="n">
        <v>5</v>
      </c>
      <c r="E5" t="n">
        <v>1792300354.6</v>
      </c>
      <c r="F5" t="n">
        <v>0.005300457706137711</v>
      </c>
      <c r="G5" t="n">
        <v>5.300457706137711</v>
      </c>
      <c r="H5" t="n">
        <v>2.060618778935288</v>
      </c>
      <c r="I5" t="n">
        <v>98.96016666666669</v>
      </c>
      <c r="J5" t="n">
        <v>88.05143366070486</v>
      </c>
      <c r="K5" t="n">
        <v>0.008889803108402362</v>
      </c>
      <c r="L5" t="n">
        <v>0.009991164943790732</v>
      </c>
      <c r="M5" t="n">
        <v>0.3982919300971302</v>
      </c>
      <c r="N5" t="n">
        <v>3.025880463034731</v>
      </c>
      <c r="O5" t="n">
        <v>0.3712906519510877</v>
      </c>
      <c r="P5" t="n">
        <v>0.2343299003270528</v>
      </c>
      <c r="Q5" t="n">
        <v>3.178432963263448</v>
      </c>
      <c r="R5" t="n">
        <v>55.23913033804154</v>
      </c>
      <c r="S5" t="n">
        <v>1.772469656680338</v>
      </c>
      <c r="T5" t="n">
        <v>3.20872114718955</v>
      </c>
      <c r="U5" t="n">
        <v>0.5</v>
      </c>
      <c r="V5" t="n">
        <v>1166</v>
      </c>
      <c r="W5" t="n">
        <v>290</v>
      </c>
      <c r="X5" t="n">
        <v>1275.63</v>
      </c>
      <c r="Y5" t="n">
        <v>145</v>
      </c>
      <c r="Z5" t="n">
        <v>8135.53</v>
      </c>
      <c r="AA5" t="n">
        <v>1265.26</v>
      </c>
      <c r="AB5" t="n">
        <v>10.37</v>
      </c>
      <c r="AC5" t="n">
        <v>300</v>
      </c>
      <c r="AD5" t="n">
        <v>19.3</v>
      </c>
      <c r="AE5" t="n">
        <v>1332.45541265344</v>
      </c>
      <c r="AF5" t="n">
        <v>1.81080575079226</v>
      </c>
      <c r="AG5" t="n">
        <v>-54.6693079656955</v>
      </c>
      <c r="AH5" t="n">
        <v>1.31551974861254</v>
      </c>
      <c r="AI5" t="n">
        <v>0.984045586611453</v>
      </c>
      <c r="AJ5" t="n">
        <v>-0.00539105072302559</v>
      </c>
      <c r="AK5" t="n">
        <v>290</v>
      </c>
      <c r="AL5" t="n">
        <v>1248.3</v>
      </c>
      <c r="AM5" t="n">
        <v>615</v>
      </c>
      <c r="AN5" t="n">
        <v>8117.41</v>
      </c>
      <c r="AO5" t="n">
        <v>1265.11</v>
      </c>
      <c r="AP5" t="n">
        <v>-16.81</v>
      </c>
      <c r="AQ5" t="n">
        <v>1499.995</v>
      </c>
      <c r="AR5" t="n">
        <v>2</v>
      </c>
      <c r="AS5" t="n">
        <v>0.5</v>
      </c>
      <c r="AT5" t="n">
        <v>2</v>
      </c>
      <c r="AU5" t="n">
        <v>1792300354.6</v>
      </c>
      <c r="AV5" t="n">
        <v>98.96016666666669</v>
      </c>
      <c r="AW5" t="n">
        <v>99.9938333333333</v>
      </c>
      <c r="AX5" t="n">
        <v>17.5559</v>
      </c>
      <c r="AY5" t="n">
        <v>15.4737333333333</v>
      </c>
      <c r="AZ5" t="n">
        <v>98.8533833333333</v>
      </c>
      <c r="BA5" t="n">
        <v>17.6587833333333</v>
      </c>
      <c r="BB5" t="n">
        <v>500.190833333333</v>
      </c>
      <c r="BC5" t="n">
        <v>100.861333333333</v>
      </c>
      <c r="BD5" t="n">
        <v>0.100147233333333</v>
      </c>
      <c r="BE5" t="n">
        <v>25.1526</v>
      </c>
      <c r="BF5" t="n">
        <v>24.9934333333333</v>
      </c>
      <c r="BG5" t="n">
        <v>999.9</v>
      </c>
      <c r="BH5" t="n">
        <v>10003.3333333333</v>
      </c>
      <c r="BI5" t="n">
        <v>6.00161</v>
      </c>
      <c r="BJ5" t="n">
        <v>-1.03365166666667</v>
      </c>
      <c r="BK5" t="n">
        <v>100.728333333333</v>
      </c>
      <c r="BL5" t="n">
        <v>101.565333333333</v>
      </c>
      <c r="BM5" t="n">
        <v>2.08219333333333</v>
      </c>
      <c r="BN5" t="n">
        <v>99.9938333333333</v>
      </c>
      <c r="BO5" t="n">
        <v>15.4737333333333</v>
      </c>
      <c r="BP5" t="n">
        <v>1.77071666666667</v>
      </c>
      <c r="BQ5" t="n">
        <v>1.56070333333333</v>
      </c>
      <c r="BR5" t="n">
        <v>15.5306333333333</v>
      </c>
      <c r="BS5" t="n">
        <v>13.5761833333333</v>
      </c>
      <c r="BT5" t="n">
        <v>1499.995</v>
      </c>
      <c r="BU5" t="n">
        <v>0.973003</v>
      </c>
      <c r="BV5" t="n">
        <v>0.0269968</v>
      </c>
      <c r="BW5" t="n">
        <v>214.231</v>
      </c>
      <c r="BX5" t="n">
        <v>5.00064</v>
      </c>
      <c r="BY5" t="n">
        <v>3459.63833333333</v>
      </c>
      <c r="BZ5" t="n">
        <v>15439.1666666667</v>
      </c>
      <c r="CA5" t="n">
        <v>41.1456666666667</v>
      </c>
      <c r="CB5" t="n">
        <v>41.8225</v>
      </c>
      <c r="CC5" t="n">
        <v>41.5</v>
      </c>
      <c r="CD5" t="n">
        <v>41.4895</v>
      </c>
      <c r="CE5" t="n">
        <v>42.625</v>
      </c>
      <c r="CF5" t="n">
        <v>1454.635</v>
      </c>
      <c r="CG5" t="n">
        <v>40.36</v>
      </c>
      <c r="CH5" t="n">
        <v>2213.70000004768</v>
      </c>
      <c r="CI5" t="n">
        <v>214.313884615385</v>
      </c>
      <c r="CJ5" t="n">
        <v>-0.5602393216067501</v>
      </c>
      <c r="CK5" t="n">
        <v>3.93230769864014</v>
      </c>
      <c r="CL5" t="n">
        <v>3459.35230769231</v>
      </c>
      <c r="CM5" t="n">
        <v>15</v>
      </c>
      <c r="CN5" t="n">
        <v>1792300316.1</v>
      </c>
      <c r="CO5" t="n">
        <v>1792300316.1</v>
      </c>
      <c r="CP5" t="n">
        <v>1792300301.1</v>
      </c>
      <c r="CQ5" t="n">
        <v>44</v>
      </c>
      <c r="CR5" t="n">
        <v>-0.255</v>
      </c>
      <c r="CS5" t="n">
        <v>-0.002</v>
      </c>
      <c r="CT5" t="n">
        <v>0.107</v>
      </c>
      <c r="CU5" t="n">
        <v>-0.179</v>
      </c>
      <c r="CV5" t="n">
        <v>100</v>
      </c>
      <c r="CW5" t="n">
        <v>15</v>
      </c>
      <c r="CX5" t="n">
        <v>0.41</v>
      </c>
      <c r="CY5" t="n">
        <v>0.02</v>
      </c>
      <c r="CZ5" t="n">
        <v>2.11847858130053</v>
      </c>
      <c r="DA5" t="n">
        <v>-0.241706532108653</v>
      </c>
      <c r="DB5" t="n">
        <v>0.107239057546796</v>
      </c>
      <c r="DC5" t="n">
        <v>1</v>
      </c>
      <c r="DD5" t="n">
        <v>-1.0543665</v>
      </c>
      <c r="DE5" t="n">
        <v>0.14322</v>
      </c>
      <c r="DF5" t="n">
        <v>0.0434346114607924</v>
      </c>
      <c r="DG5" t="n">
        <v>1</v>
      </c>
      <c r="DH5" t="n">
        <v>214.337176470588</v>
      </c>
      <c r="DI5" t="n">
        <v>-0.423437743140478</v>
      </c>
      <c r="DJ5" t="n">
        <v>0.170116131715652</v>
      </c>
      <c r="DK5" t="n">
        <v>1</v>
      </c>
      <c r="DL5" t="n">
        <v>3</v>
      </c>
      <c r="DM5" t="n">
        <v>3</v>
      </c>
      <c r="DN5" t="n">
        <v>3.12345</v>
      </c>
      <c r="DO5" t="n">
        <v>2.76525</v>
      </c>
      <c r="DP5" t="n">
        <v>0.0261742</v>
      </c>
      <c r="DQ5" t="n">
        <v>0.0271614</v>
      </c>
      <c r="DR5" t="n">
        <v>0.09323770000000001</v>
      </c>
      <c r="DS5" t="n">
        <v>0.0881007</v>
      </c>
      <c r="DT5" t="n">
        <v>18966.4</v>
      </c>
      <c r="DU5" t="n">
        <v>28577</v>
      </c>
      <c r="DV5" t="n">
        <v>22758.3</v>
      </c>
      <c r="DW5" t="n">
        <v>30100.2</v>
      </c>
      <c r="DX5" t="n">
        <v>33845.8</v>
      </c>
      <c r="DY5" t="n">
        <v>34196.2</v>
      </c>
      <c r="DZ5" t="n">
        <v>43060.3</v>
      </c>
      <c r="EA5" t="n">
        <v>42876.7</v>
      </c>
      <c r="EB5" t="n">
        <v>1.97053</v>
      </c>
      <c r="EC5" t="n">
        <v>1.80558</v>
      </c>
      <c r="ED5" t="n">
        <v>0.07587670000000001</v>
      </c>
      <c r="EE5" t="n">
        <v>23.7533</v>
      </c>
      <c r="EF5" t="n">
        <v>999.9</v>
      </c>
      <c r="EG5" t="n">
        <v>40.514</v>
      </c>
      <c r="EH5" t="n">
        <v>32.579</v>
      </c>
      <c r="EI5" t="n">
        <v>19.8178</v>
      </c>
      <c r="EJ5" t="n">
        <v>63.3115</v>
      </c>
      <c r="EK5" t="n">
        <v>35.9255</v>
      </c>
      <c r="EL5" t="n">
        <v>1</v>
      </c>
      <c r="EM5" t="n">
        <v>0.0774492</v>
      </c>
      <c r="EN5" t="n">
        <v>2.10722</v>
      </c>
      <c r="EO5" t="n">
        <v>20.2244</v>
      </c>
      <c r="EP5" t="n">
        <v>5.23032</v>
      </c>
      <c r="EQ5" t="n">
        <v>11.962</v>
      </c>
      <c r="ER5" t="n">
        <v>4.969</v>
      </c>
      <c r="ES5" t="n">
        <v>3.2951</v>
      </c>
      <c r="ET5" t="n">
        <v>9999</v>
      </c>
      <c r="EU5" t="n">
        <v>9999</v>
      </c>
      <c r="EV5" t="n">
        <v>9999</v>
      </c>
      <c r="EW5" t="n">
        <v>999.9</v>
      </c>
      <c r="EX5" t="n">
        <v>4.96857</v>
      </c>
      <c r="EY5" t="n">
        <v>1.86248</v>
      </c>
      <c r="EZ5" t="n">
        <v>1.86401</v>
      </c>
      <c r="FA5" t="n">
        <v>1.86594</v>
      </c>
      <c r="FB5" t="n">
        <v>1.86295</v>
      </c>
      <c r="FC5" t="n">
        <v>1.86661</v>
      </c>
      <c r="FD5" t="n">
        <v>1.8634</v>
      </c>
      <c r="FE5" t="n">
        <v>1.86532</v>
      </c>
      <c r="FF5" t="n">
        <v>100</v>
      </c>
      <c r="FG5" t="n">
        <v>100</v>
      </c>
      <c r="FH5" t="n">
        <v>0.107</v>
      </c>
      <c r="FI5" t="n">
        <v>-0.1033</v>
      </c>
      <c r="FJ5" t="n">
        <v>0.08271406606782659</v>
      </c>
      <c r="FK5" t="n">
        <v>0.000216929631606078</v>
      </c>
      <c r="FL5" t="n">
        <v>2.72263024731635e-07</v>
      </c>
      <c r="FM5" t="n">
        <v>-5.43792051235154e-11</v>
      </c>
      <c r="FN5" t="n">
        <v>-0.0197827648979432</v>
      </c>
      <c r="FO5" t="n">
        <v>-0.0584433849545669</v>
      </c>
      <c r="FP5" t="n">
        <v>0.00341568706061026</v>
      </c>
      <c r="FQ5" t="n">
        <v>-2.10952612506686e-05</v>
      </c>
      <c r="FR5" t="n">
        <v>1734</v>
      </c>
      <c r="FS5" t="n">
        <v>2</v>
      </c>
      <c r="FT5" t="n">
        <v>19</v>
      </c>
      <c r="FU5" t="n">
        <v>0.7</v>
      </c>
      <c r="FV5" t="n">
        <v>0.9</v>
      </c>
      <c r="FW5" t="n">
        <v>0.412598</v>
      </c>
      <c r="FX5" t="n">
        <v>2.58301</v>
      </c>
      <c r="FY5" t="n">
        <v>1.34644</v>
      </c>
      <c r="FZ5" t="n">
        <v>2.26074</v>
      </c>
      <c r="GA5" t="n">
        <v>1.55029</v>
      </c>
      <c r="GB5" t="n">
        <v>2.54883</v>
      </c>
      <c r="GC5" t="n">
        <v>36.4578</v>
      </c>
      <c r="GD5" t="n">
        <v>15.0076</v>
      </c>
      <c r="GE5" t="n">
        <v>18</v>
      </c>
      <c r="GF5" t="n">
        <v>501.251</v>
      </c>
      <c r="GG5" t="n">
        <v>472.293</v>
      </c>
      <c r="GH5" t="n">
        <v>21.7067</v>
      </c>
      <c r="GI5" t="n">
        <v>28.2528</v>
      </c>
      <c r="GJ5" t="n">
        <v>29.9999</v>
      </c>
      <c r="GK5" t="n">
        <v>28.2615</v>
      </c>
      <c r="GL5" t="n">
        <v>28.2778</v>
      </c>
      <c r="GM5" t="n">
        <v>8.28276</v>
      </c>
      <c r="GN5" t="n">
        <v>30.5505</v>
      </c>
      <c r="GO5" t="n">
        <v>22.9429</v>
      </c>
      <c r="GP5" t="n">
        <v>21.7135</v>
      </c>
      <c r="GQ5" t="n">
        <v>100</v>
      </c>
      <c r="GR5" t="n">
        <v>15.4271</v>
      </c>
      <c r="GS5" t="n">
        <v>101.676</v>
      </c>
      <c r="GT5" t="n">
        <v>97.3573</v>
      </c>
    </row>
    <row r="6">
      <c r="A6" t="n">
        <v>5</v>
      </c>
      <c r="B6" t="n">
        <v>1792300479.1</v>
      </c>
      <c r="C6" t="n">
        <v>484.099999904633</v>
      </c>
      <c r="D6" t="n">
        <v>5</v>
      </c>
      <c r="E6" t="n">
        <v>1792300475.6</v>
      </c>
      <c r="F6" t="n">
        <v>0.005481190431296995</v>
      </c>
      <c r="G6" t="n">
        <v>5.481190431296995</v>
      </c>
      <c r="H6" t="n">
        <v>-0.5912346359321973</v>
      </c>
      <c r="I6" t="n">
        <v>50.1283666666667</v>
      </c>
      <c r="J6" t="n">
        <v>51.42178306749216</v>
      </c>
      <c r="K6" t="n">
        <v>0.005191568247189887</v>
      </c>
      <c r="L6" t="n">
        <v>0.005060984297813673</v>
      </c>
      <c r="M6" t="n">
        <v>0.4120511418617077</v>
      </c>
      <c r="N6" t="n">
        <v>3.026123126698624</v>
      </c>
      <c r="O6" t="n">
        <v>0.3832266069046854</v>
      </c>
      <c r="P6" t="n">
        <v>0.2419381579069672</v>
      </c>
      <c r="Q6" t="n">
        <v>3.17704352801947</v>
      </c>
      <c r="R6" t="n">
        <v>55.04682538253396</v>
      </c>
      <c r="S6" t="n">
        <v>1.768398645499383</v>
      </c>
      <c r="T6" t="n">
        <v>3.212535206545237</v>
      </c>
      <c r="U6" t="n">
        <v>0.5</v>
      </c>
      <c r="V6" t="n">
        <v>1166</v>
      </c>
      <c r="W6" t="n">
        <v>290</v>
      </c>
      <c r="X6" t="n">
        <v>1275.63</v>
      </c>
      <c r="Y6" t="n">
        <v>145</v>
      </c>
      <c r="Z6" t="n">
        <v>8135.53</v>
      </c>
      <c r="AA6" t="n">
        <v>1265.26</v>
      </c>
      <c r="AB6" t="n">
        <v>10.37</v>
      </c>
      <c r="AC6" t="n">
        <v>300</v>
      </c>
      <c r="AD6" t="n">
        <v>19.3</v>
      </c>
      <c r="AE6" t="n">
        <v>1332.45541265344</v>
      </c>
      <c r="AF6" t="n">
        <v>1.81080575079226</v>
      </c>
      <c r="AG6" t="n">
        <v>-54.6693079656955</v>
      </c>
      <c r="AH6" t="n">
        <v>1.31551974861254</v>
      </c>
      <c r="AI6" t="n">
        <v>0.984045586611453</v>
      </c>
      <c r="AJ6" t="n">
        <v>-0.00539105072302559</v>
      </c>
      <c r="AK6" t="n">
        <v>290</v>
      </c>
      <c r="AL6" t="n">
        <v>1248.3</v>
      </c>
      <c r="AM6" t="n">
        <v>615</v>
      </c>
      <c r="AN6" t="n">
        <v>8117.41</v>
      </c>
      <c r="AO6" t="n">
        <v>1265.11</v>
      </c>
      <c r="AP6" t="n">
        <v>-16.81</v>
      </c>
      <c r="AQ6" t="n">
        <v>1500.02</v>
      </c>
      <c r="AR6" t="n">
        <v>2</v>
      </c>
      <c r="AS6" t="n">
        <v>0.5</v>
      </c>
      <c r="AT6" t="n">
        <v>2</v>
      </c>
      <c r="AU6" t="n">
        <v>1792300475.6</v>
      </c>
      <c r="AV6" t="n">
        <v>50.1283666666667</v>
      </c>
      <c r="AW6" t="n">
        <v>50.0018</v>
      </c>
      <c r="AX6" t="n">
        <v>17.51575</v>
      </c>
      <c r="AY6" t="n">
        <v>15.36205</v>
      </c>
      <c r="AZ6" t="n">
        <v>50.0857666666667</v>
      </c>
      <c r="BA6" t="n">
        <v>17.6199333333333</v>
      </c>
      <c r="BB6" t="n">
        <v>500.086666666667</v>
      </c>
      <c r="BC6" t="n">
        <v>100.8605</v>
      </c>
      <c r="BD6" t="n">
        <v>0.0999867333333333</v>
      </c>
      <c r="BE6" t="n">
        <v>25.17255</v>
      </c>
      <c r="BF6" t="n">
        <v>24.9861</v>
      </c>
      <c r="BG6" t="n">
        <v>999.9</v>
      </c>
      <c r="BH6" t="n">
        <v>10004.8833333333</v>
      </c>
      <c r="BI6" t="n">
        <v>5.96023666666667</v>
      </c>
      <c r="BJ6" t="n">
        <v>0.126549266666667</v>
      </c>
      <c r="BK6" t="n">
        <v>51.02205</v>
      </c>
      <c r="BL6" t="n">
        <v>50.7819166666667</v>
      </c>
      <c r="BM6" t="n">
        <v>2.15369333333333</v>
      </c>
      <c r="BN6" t="n">
        <v>50.0018</v>
      </c>
      <c r="BO6" t="n">
        <v>15.36205</v>
      </c>
      <c r="BP6" t="n">
        <v>1.766645</v>
      </c>
      <c r="BQ6" t="n">
        <v>1.54942166666667</v>
      </c>
      <c r="BR6" t="n">
        <v>15.4947333333333</v>
      </c>
      <c r="BS6" t="n">
        <v>13.4648166666667</v>
      </c>
      <c r="BT6" t="n">
        <v>1500.02</v>
      </c>
      <c r="BU6" t="n">
        <v>0.973003</v>
      </c>
      <c r="BV6" t="n">
        <v>0.0269968</v>
      </c>
      <c r="BW6" t="n">
        <v>215.571</v>
      </c>
      <c r="BX6" t="n">
        <v>5.00064</v>
      </c>
      <c r="BY6" t="n">
        <v>3479.785</v>
      </c>
      <c r="BZ6" t="n">
        <v>15439.4666666667</v>
      </c>
      <c r="CA6" t="n">
        <v>41.1766666666667</v>
      </c>
      <c r="CB6" t="n">
        <v>41.8645</v>
      </c>
      <c r="CC6" t="n">
        <v>41.5</v>
      </c>
      <c r="CD6" t="n">
        <v>41.4895</v>
      </c>
      <c r="CE6" t="n">
        <v>42.6353333333333</v>
      </c>
      <c r="CF6" t="n">
        <v>1454.66</v>
      </c>
      <c r="CG6" t="n">
        <v>40.36</v>
      </c>
      <c r="CH6" t="n">
        <v>2334.90000009537</v>
      </c>
      <c r="CI6" t="n">
        <v>215.657884615385</v>
      </c>
      <c r="CJ6" t="n">
        <v>-0.119487191918821</v>
      </c>
      <c r="CK6" t="n">
        <v>-0.911794843279651</v>
      </c>
      <c r="CL6" t="n">
        <v>3479.71423076923</v>
      </c>
      <c r="CM6" t="n">
        <v>15</v>
      </c>
      <c r="CN6" t="n">
        <v>1792300423.1</v>
      </c>
      <c r="CO6" t="n">
        <v>1792300423.1</v>
      </c>
      <c r="CP6" t="n">
        <v>1792300423.1</v>
      </c>
      <c r="CQ6" t="n">
        <v>45</v>
      </c>
      <c r="CR6" t="n">
        <v>-0.052</v>
      </c>
      <c r="CS6" t="n">
        <v>0</v>
      </c>
      <c r="CT6" t="n">
        <v>0.043</v>
      </c>
      <c r="CU6" t="n">
        <v>-0.18</v>
      </c>
      <c r="CV6" t="n">
        <v>50</v>
      </c>
      <c r="CW6" t="n">
        <v>15</v>
      </c>
      <c r="CX6" t="n">
        <v>0.52</v>
      </c>
      <c r="CY6" t="n">
        <v>0.03</v>
      </c>
      <c r="CZ6" t="n">
        <v>-0.609866646632774</v>
      </c>
      <c r="DA6" t="n">
        <v>0.0371492927726165</v>
      </c>
      <c r="DB6" t="n">
        <v>0.050177476715115</v>
      </c>
      <c r="DC6" t="n">
        <v>1</v>
      </c>
      <c r="DD6" t="n">
        <v>0.13468488</v>
      </c>
      <c r="DE6" t="n">
        <v>0.000704264661654451</v>
      </c>
      <c r="DF6" t="n">
        <v>0.0209783822375702</v>
      </c>
      <c r="DG6" t="n">
        <v>1</v>
      </c>
      <c r="DH6" t="n">
        <v>215.663441176471</v>
      </c>
      <c r="DI6" t="n">
        <v>-0.141038968008073</v>
      </c>
      <c r="DJ6" t="n">
        <v>0.169220912206582</v>
      </c>
      <c r="DK6" t="n">
        <v>1</v>
      </c>
      <c r="DL6" t="n">
        <v>3</v>
      </c>
      <c r="DM6" t="n">
        <v>3</v>
      </c>
      <c r="DN6" t="n">
        <v>3.12329</v>
      </c>
      <c r="DO6" t="n">
        <v>2.76531</v>
      </c>
      <c r="DP6" t="n">
        <v>0.0136093</v>
      </c>
      <c r="DQ6" t="n">
        <v>0.013969</v>
      </c>
      <c r="DR6" t="n">
        <v>0.0931019</v>
      </c>
      <c r="DS6" t="n">
        <v>0.087686</v>
      </c>
      <c r="DT6" t="n">
        <v>19212.8</v>
      </c>
      <c r="DU6" t="n">
        <v>28967.5</v>
      </c>
      <c r="DV6" t="n">
        <v>22760</v>
      </c>
      <c r="DW6" t="n">
        <v>30102.9</v>
      </c>
      <c r="DX6" t="n">
        <v>33852.7</v>
      </c>
      <c r="DY6" t="n">
        <v>34213.7</v>
      </c>
      <c r="DZ6" t="n">
        <v>43063.6</v>
      </c>
      <c r="EA6" t="n">
        <v>42880.3</v>
      </c>
      <c r="EB6" t="n">
        <v>1.97148</v>
      </c>
      <c r="EC6" t="n">
        <v>1.80585</v>
      </c>
      <c r="ED6" t="n">
        <v>0.0736788</v>
      </c>
      <c r="EE6" t="n">
        <v>23.7701</v>
      </c>
      <c r="EF6" t="n">
        <v>999.9</v>
      </c>
      <c r="EG6" t="n">
        <v>40.441</v>
      </c>
      <c r="EH6" t="n">
        <v>32.579</v>
      </c>
      <c r="EI6" t="n">
        <v>19.7829</v>
      </c>
      <c r="EJ6" t="n">
        <v>63.2115</v>
      </c>
      <c r="EK6" t="n">
        <v>36.4343</v>
      </c>
      <c r="EL6" t="n">
        <v>1</v>
      </c>
      <c r="EM6" t="n">
        <v>0.07412349999999999</v>
      </c>
      <c r="EN6" t="n">
        <v>2.15102</v>
      </c>
      <c r="EO6" t="n">
        <v>20.2237</v>
      </c>
      <c r="EP6" t="n">
        <v>5.23421</v>
      </c>
      <c r="EQ6" t="n">
        <v>11.962</v>
      </c>
      <c r="ER6" t="n">
        <v>4.96855</v>
      </c>
      <c r="ES6" t="n">
        <v>3.295</v>
      </c>
      <c r="ET6" t="n">
        <v>9999</v>
      </c>
      <c r="EU6" t="n">
        <v>9999</v>
      </c>
      <c r="EV6" t="n">
        <v>9999</v>
      </c>
      <c r="EW6" t="n">
        <v>999.9</v>
      </c>
      <c r="EX6" t="n">
        <v>4.9686</v>
      </c>
      <c r="EY6" t="n">
        <v>1.86247</v>
      </c>
      <c r="EZ6" t="n">
        <v>1.86401</v>
      </c>
      <c r="FA6" t="n">
        <v>1.86589</v>
      </c>
      <c r="FB6" t="n">
        <v>1.86295</v>
      </c>
      <c r="FC6" t="n">
        <v>1.86661</v>
      </c>
      <c r="FD6" t="n">
        <v>1.8634</v>
      </c>
      <c r="FE6" t="n">
        <v>1.8653</v>
      </c>
      <c r="FF6" t="n">
        <v>100</v>
      </c>
      <c r="FG6" t="n">
        <v>100</v>
      </c>
      <c r="FH6" t="n">
        <v>0.043</v>
      </c>
      <c r="FI6" t="n">
        <v>-0.1045</v>
      </c>
      <c r="FJ6" t="n">
        <v>0.0310592744979863</v>
      </c>
      <c r="FK6" t="n">
        <v>0.000216929631606078</v>
      </c>
      <c r="FL6" t="n">
        <v>2.72263024731635e-07</v>
      </c>
      <c r="FM6" t="n">
        <v>-5.43792051235154e-11</v>
      </c>
      <c r="FN6" t="n">
        <v>-0.0194873393511646</v>
      </c>
      <c r="FO6" t="n">
        <v>-0.0584433849545669</v>
      </c>
      <c r="FP6" t="n">
        <v>0.00341568706061026</v>
      </c>
      <c r="FQ6" t="n">
        <v>-2.10952612506686e-05</v>
      </c>
      <c r="FR6" t="n">
        <v>1734</v>
      </c>
      <c r="FS6" t="n">
        <v>2</v>
      </c>
      <c r="FT6" t="n">
        <v>19</v>
      </c>
      <c r="FU6" t="n">
        <v>0.9</v>
      </c>
      <c r="FV6" t="n">
        <v>0.9</v>
      </c>
      <c r="FW6" t="n">
        <v>0.301514</v>
      </c>
      <c r="FX6" t="n">
        <v>2.59033</v>
      </c>
      <c r="FY6" t="n">
        <v>1.34644</v>
      </c>
      <c r="FZ6" t="n">
        <v>2.26196</v>
      </c>
      <c r="GA6" t="n">
        <v>1.55029</v>
      </c>
      <c r="GB6" t="n">
        <v>2.70752</v>
      </c>
      <c r="GC6" t="n">
        <v>36.4343</v>
      </c>
      <c r="GD6" t="n">
        <v>14.9901</v>
      </c>
      <c r="GE6" t="n">
        <v>18</v>
      </c>
      <c r="GF6" t="n">
        <v>501.477</v>
      </c>
      <c r="GG6" t="n">
        <v>472.118</v>
      </c>
      <c r="GH6" t="n">
        <v>21.747</v>
      </c>
      <c r="GI6" t="n">
        <v>28.209</v>
      </c>
      <c r="GJ6" t="n">
        <v>30.0002</v>
      </c>
      <c r="GK6" t="n">
        <v>28.2189</v>
      </c>
      <c r="GL6" t="n">
        <v>28.2362</v>
      </c>
      <c r="GM6" t="n">
        <v>6.04397</v>
      </c>
      <c r="GN6" t="n">
        <v>30.8528</v>
      </c>
      <c r="GO6" t="n">
        <v>22.2746</v>
      </c>
      <c r="GP6" t="n">
        <v>21.7445</v>
      </c>
      <c r="GQ6" t="n">
        <v>50</v>
      </c>
      <c r="GR6" t="n">
        <v>15.392</v>
      </c>
      <c r="GS6" t="n">
        <v>101.684</v>
      </c>
      <c r="GT6" t="n">
        <v>97.36579999999999</v>
      </c>
    </row>
    <row r="7">
      <c r="A7" t="n">
        <v>8</v>
      </c>
      <c r="B7" t="n">
        <v>1792300931.1</v>
      </c>
      <c r="C7" t="n">
        <v>936.099999904633</v>
      </c>
      <c r="D7" t="n">
        <v>5</v>
      </c>
      <c r="E7" t="n">
        <v>1792300927.6</v>
      </c>
      <c r="F7" t="n">
        <v>0.006006350717372808</v>
      </c>
      <c r="G7" t="n">
        <v>6.006350717372809</v>
      </c>
      <c r="H7" t="n">
        <v>19.74617274799044</v>
      </c>
      <c r="I7" t="n">
        <v>690.466166666667</v>
      </c>
      <c r="J7" t="n">
        <v>601.8951155734463</v>
      </c>
      <c r="K7" t="n">
        <v>0.06076406993096978</v>
      </c>
      <c r="L7" t="n">
        <v>0.06970572339057694</v>
      </c>
      <c r="M7" t="n">
        <v>0.4573490945388386</v>
      </c>
      <c r="N7" t="n">
        <v>3.024940655810819</v>
      </c>
      <c r="O7" t="n">
        <v>0.4221162789933865</v>
      </c>
      <c r="P7" t="n">
        <v>0.2667616564747164</v>
      </c>
      <c r="Q7" t="n">
        <v>3.183388724123276</v>
      </c>
      <c r="R7" t="n">
        <v>54.974638303081</v>
      </c>
      <c r="S7" t="n">
        <v>1.782220225502001</v>
      </c>
      <c r="T7" t="n">
        <v>3.241895318485648</v>
      </c>
      <c r="U7" t="n">
        <v>0.5</v>
      </c>
      <c r="V7" t="n">
        <v>1166</v>
      </c>
      <c r="W7" t="n">
        <v>290</v>
      </c>
      <c r="X7" t="n">
        <v>1275.63</v>
      </c>
      <c r="Y7" t="n">
        <v>145</v>
      </c>
      <c r="Z7" t="n">
        <v>8135.53</v>
      </c>
      <c r="AA7" t="n">
        <v>1265.26</v>
      </c>
      <c r="AB7" t="n">
        <v>10.37</v>
      </c>
      <c r="AC7" t="n">
        <v>300</v>
      </c>
      <c r="AD7" t="n">
        <v>19.3</v>
      </c>
      <c r="AE7" t="n">
        <v>1332.45541265344</v>
      </c>
      <c r="AF7" t="n">
        <v>1.81080575079226</v>
      </c>
      <c r="AG7" t="n">
        <v>-54.6693079656955</v>
      </c>
      <c r="AH7" t="n">
        <v>1.31551974861254</v>
      </c>
      <c r="AI7" t="n">
        <v>0.984045586611453</v>
      </c>
      <c r="AJ7" t="n">
        <v>-0.00539105072302559</v>
      </c>
      <c r="AK7" t="n">
        <v>290</v>
      </c>
      <c r="AL7" t="n">
        <v>1248.3</v>
      </c>
      <c r="AM7" t="n">
        <v>615</v>
      </c>
      <c r="AN7" t="n">
        <v>8117.41</v>
      </c>
      <c r="AO7" t="n">
        <v>1265.11</v>
      </c>
      <c r="AP7" t="n">
        <v>-16.81</v>
      </c>
      <c r="AQ7" t="n">
        <v>1499.97833333333</v>
      </c>
      <c r="AR7" t="n">
        <v>2</v>
      </c>
      <c r="AS7" t="n">
        <v>0.5</v>
      </c>
      <c r="AT7" t="n">
        <v>2</v>
      </c>
      <c r="AU7" t="n">
        <v>1792300927.6</v>
      </c>
      <c r="AV7" t="n">
        <v>690.466166666667</v>
      </c>
      <c r="AW7" t="n">
        <v>700.023333333333</v>
      </c>
      <c r="AX7" t="n">
        <v>17.6536833333333</v>
      </c>
      <c r="AY7" t="n">
        <v>15.2936</v>
      </c>
      <c r="AZ7" t="n">
        <v>689.465</v>
      </c>
      <c r="BA7" t="n">
        <v>17.7410666666667</v>
      </c>
      <c r="BB7" t="n">
        <v>500.009166666667</v>
      </c>
      <c r="BC7" t="n">
        <v>100.854666666667</v>
      </c>
      <c r="BD7" t="n">
        <v>0.09991555000000001</v>
      </c>
      <c r="BE7" t="n">
        <v>25.3254333333333</v>
      </c>
      <c r="BF7" t="n">
        <v>25.0195666666667</v>
      </c>
      <c r="BG7" t="n">
        <v>999.9</v>
      </c>
      <c r="BH7" t="n">
        <v>9998.31333333333</v>
      </c>
      <c r="BI7" t="n">
        <v>6.00161</v>
      </c>
      <c r="BJ7" t="n">
        <v>-9.557138333333331</v>
      </c>
      <c r="BK7" t="n">
        <v>702.8745</v>
      </c>
      <c r="BL7" t="n">
        <v>710.895333333333</v>
      </c>
      <c r="BM7" t="n">
        <v>2.36007333333333</v>
      </c>
      <c r="BN7" t="n">
        <v>700.023333333333</v>
      </c>
      <c r="BO7" t="n">
        <v>15.2936</v>
      </c>
      <c r="BP7" t="n">
        <v>1.78045333333333</v>
      </c>
      <c r="BQ7" t="n">
        <v>1.54242833333333</v>
      </c>
      <c r="BR7" t="n">
        <v>15.61625</v>
      </c>
      <c r="BS7" t="n">
        <v>13.3953833333333</v>
      </c>
      <c r="BT7" t="n">
        <v>1499.97833333333</v>
      </c>
      <c r="BU7" t="n">
        <v>0.9729989999999999</v>
      </c>
      <c r="BV7" t="n">
        <v>0.0270007</v>
      </c>
      <c r="BW7" t="n">
        <v>235.7885</v>
      </c>
      <c r="BX7" t="n">
        <v>5.00064</v>
      </c>
      <c r="BY7" t="n">
        <v>3799.36666666667</v>
      </c>
      <c r="BZ7" t="n">
        <v>15439</v>
      </c>
      <c r="CA7" t="n">
        <v>41.25</v>
      </c>
      <c r="CB7" t="n">
        <v>41.937</v>
      </c>
      <c r="CC7" t="n">
        <v>41.562</v>
      </c>
      <c r="CD7" t="n">
        <v>41.562</v>
      </c>
      <c r="CE7" t="n">
        <v>42.7185</v>
      </c>
      <c r="CF7" t="n">
        <v>1454.60833333333</v>
      </c>
      <c r="CG7" t="n">
        <v>40.37</v>
      </c>
      <c r="CH7" t="n">
        <v>2786.70000004768</v>
      </c>
      <c r="CI7" t="n">
        <v>235.75616</v>
      </c>
      <c r="CJ7" t="n">
        <v>-0.221692303133039</v>
      </c>
      <c r="CK7" t="n">
        <v>-8.02692306114777</v>
      </c>
      <c r="CL7" t="n">
        <v>3799.9692</v>
      </c>
      <c r="CM7" t="n">
        <v>15</v>
      </c>
      <c r="CN7" t="n">
        <v>1792300859.1</v>
      </c>
      <c r="CO7" t="n">
        <v>1792300859.1</v>
      </c>
      <c r="CP7" t="n">
        <v>1792300852.1</v>
      </c>
      <c r="CQ7" t="n">
        <v>48</v>
      </c>
      <c r="CR7" t="n">
        <v>-0.075</v>
      </c>
      <c r="CS7" t="n">
        <v>0.003</v>
      </c>
      <c r="CT7" t="n">
        <v>1.006</v>
      </c>
      <c r="CU7" t="n">
        <v>-0.172</v>
      </c>
      <c r="CV7" t="n">
        <v>700</v>
      </c>
      <c r="CW7" t="n">
        <v>15</v>
      </c>
      <c r="CX7" t="n">
        <v>0.2</v>
      </c>
      <c r="CY7" t="n">
        <v>0.04</v>
      </c>
      <c r="CZ7" t="n">
        <v>19.6446515861722</v>
      </c>
      <c r="DA7" t="n">
        <v>0.174356180787294</v>
      </c>
      <c r="DB7" t="n">
        <v>0.0908378296897133</v>
      </c>
      <c r="DC7" t="n">
        <v>1</v>
      </c>
      <c r="DD7" t="n">
        <v>-9.51836476190476</v>
      </c>
      <c r="DE7" t="n">
        <v>-0.0843864935065142</v>
      </c>
      <c r="DF7" t="n">
        <v>0.0392640918735884</v>
      </c>
      <c r="DG7" t="n">
        <v>1</v>
      </c>
      <c r="DH7" t="n">
        <v>235.8435</v>
      </c>
      <c r="DI7" t="n">
        <v>-0.891474405194982</v>
      </c>
      <c r="DJ7" t="n">
        <v>0.211086161666414</v>
      </c>
      <c r="DK7" t="n">
        <v>1</v>
      </c>
      <c r="DL7" t="n">
        <v>3</v>
      </c>
      <c r="DM7" t="n">
        <v>3</v>
      </c>
      <c r="DN7" t="n">
        <v>3.12317</v>
      </c>
      <c r="DO7" t="n">
        <v>2.76534</v>
      </c>
      <c r="DP7" t="n">
        <v>0.129618</v>
      </c>
      <c r="DQ7" t="n">
        <v>0.134245</v>
      </c>
      <c r="DR7" t="n">
        <v>0.0936106</v>
      </c>
      <c r="DS7" t="n">
        <v>0.08742709999999999</v>
      </c>
      <c r="DT7" t="n">
        <v>16953.6</v>
      </c>
      <c r="DU7" t="n">
        <v>25435.6</v>
      </c>
      <c r="DV7" t="n">
        <v>22760.7</v>
      </c>
      <c r="DW7" t="n">
        <v>30105.2</v>
      </c>
      <c r="DX7" t="n">
        <v>33841.7</v>
      </c>
      <c r="DY7" t="n">
        <v>34233.8</v>
      </c>
      <c r="DZ7" t="n">
        <v>43065.8</v>
      </c>
      <c r="EA7" t="n">
        <v>42882.9</v>
      </c>
      <c r="EB7" t="n">
        <v>1.97302</v>
      </c>
      <c r="EC7" t="n">
        <v>1.809</v>
      </c>
      <c r="ED7" t="n">
        <v>0.07034840000000001</v>
      </c>
      <c r="EE7" t="n">
        <v>23.8615</v>
      </c>
      <c r="EF7" t="n">
        <v>999.9</v>
      </c>
      <c r="EG7" t="n">
        <v>40.074</v>
      </c>
      <c r="EH7" t="n">
        <v>32.559</v>
      </c>
      <c r="EI7" t="n">
        <v>19.5844</v>
      </c>
      <c r="EJ7" t="n">
        <v>63.4015</v>
      </c>
      <c r="EK7" t="n">
        <v>36.3982</v>
      </c>
      <c r="EL7" t="n">
        <v>1</v>
      </c>
      <c r="EM7" t="n">
        <v>0.0683511</v>
      </c>
      <c r="EN7" t="n">
        <v>2.1116</v>
      </c>
      <c r="EO7" t="n">
        <v>20.2249</v>
      </c>
      <c r="EP7" t="n">
        <v>5.23481</v>
      </c>
      <c r="EQ7" t="n">
        <v>11.962</v>
      </c>
      <c r="ER7" t="n">
        <v>4.9677</v>
      </c>
      <c r="ES7" t="n">
        <v>3.29508</v>
      </c>
      <c r="ET7" t="n">
        <v>9999</v>
      </c>
      <c r="EU7" t="n">
        <v>9999</v>
      </c>
      <c r="EV7" t="n">
        <v>9999</v>
      </c>
      <c r="EW7" t="n">
        <v>999.9</v>
      </c>
      <c r="EX7" t="n">
        <v>4.96859</v>
      </c>
      <c r="EY7" t="n">
        <v>1.86248</v>
      </c>
      <c r="EZ7" t="n">
        <v>1.864</v>
      </c>
      <c r="FA7" t="n">
        <v>1.8659</v>
      </c>
      <c r="FB7" t="n">
        <v>1.86295</v>
      </c>
      <c r="FC7" t="n">
        <v>1.86661</v>
      </c>
      <c r="FD7" t="n">
        <v>1.8634</v>
      </c>
      <c r="FE7" t="n">
        <v>1.86533</v>
      </c>
      <c r="FF7" t="n">
        <v>100</v>
      </c>
      <c r="FG7" t="n">
        <v>100</v>
      </c>
      <c r="FH7" t="n">
        <v>1.001</v>
      </c>
      <c r="FI7" t="n">
        <v>-0.08749999999999999</v>
      </c>
      <c r="FJ7" t="n">
        <v>0.739960782720283</v>
      </c>
      <c r="FK7" t="n">
        <v>0.000216929631606078</v>
      </c>
      <c r="FL7" t="n">
        <v>2.72263024731635e-07</v>
      </c>
      <c r="FM7" t="n">
        <v>-5.43792051235154e-11</v>
      </c>
      <c r="FN7" t="n">
        <v>-0.00779907844955879</v>
      </c>
      <c r="FO7" t="n">
        <v>-0.0584433849545669</v>
      </c>
      <c r="FP7" t="n">
        <v>0.00341568706061026</v>
      </c>
      <c r="FQ7" t="n">
        <v>-2.10952612506686e-05</v>
      </c>
      <c r="FR7" t="n">
        <v>1734</v>
      </c>
      <c r="FS7" t="n">
        <v>2</v>
      </c>
      <c r="FT7" t="n">
        <v>19</v>
      </c>
      <c r="FU7" t="n">
        <v>1.2</v>
      </c>
      <c r="FV7" t="n">
        <v>1.3</v>
      </c>
      <c r="FW7" t="n">
        <v>1.63696</v>
      </c>
      <c r="FX7" t="n">
        <v>2.56714</v>
      </c>
      <c r="FY7" t="n">
        <v>1.34644</v>
      </c>
      <c r="FZ7" t="n">
        <v>2.26196</v>
      </c>
      <c r="GA7" t="n">
        <v>1.55029</v>
      </c>
      <c r="GB7" t="n">
        <v>2.71729</v>
      </c>
      <c r="GC7" t="n">
        <v>36.3871</v>
      </c>
      <c r="GD7" t="n">
        <v>14.9026</v>
      </c>
      <c r="GE7" t="n">
        <v>18</v>
      </c>
      <c r="GF7" t="n">
        <v>501.443</v>
      </c>
      <c r="GG7" t="n">
        <v>473.27</v>
      </c>
      <c r="GH7" t="n">
        <v>21.9442</v>
      </c>
      <c r="GI7" t="n">
        <v>28.1015</v>
      </c>
      <c r="GJ7" t="n">
        <v>30.0003</v>
      </c>
      <c r="GK7" t="n">
        <v>28.1035</v>
      </c>
      <c r="GL7" t="n">
        <v>28.1202</v>
      </c>
      <c r="GM7" t="n">
        <v>32.761</v>
      </c>
      <c r="GN7" t="n">
        <v>30.2896</v>
      </c>
      <c r="GO7" t="n">
        <v>19.2907</v>
      </c>
      <c r="GP7" t="n">
        <v>21.9302</v>
      </c>
      <c r="GQ7" t="n">
        <v>700</v>
      </c>
      <c r="GR7" t="n">
        <v>15.3298</v>
      </c>
      <c r="GS7" t="n">
        <v>101.688</v>
      </c>
      <c r="GT7" t="n">
        <v>97.37220000000001</v>
      </c>
    </row>
    <row r="8">
      <c r="A8" t="n">
        <v>9</v>
      </c>
      <c r="B8" t="n">
        <v>1792301065.1</v>
      </c>
      <c r="C8" t="n">
        <v>1070.09999990463</v>
      </c>
      <c r="D8" t="n">
        <v>5</v>
      </c>
      <c r="E8" t="n">
        <v>1792301061.6</v>
      </c>
      <c r="F8" t="n">
        <v>0.005786932524200177</v>
      </c>
      <c r="G8" t="n">
        <v>5.786932524200177</v>
      </c>
      <c r="H8" t="n">
        <v>20.14620802383519</v>
      </c>
      <c r="I8" t="n">
        <v>989.690666666667</v>
      </c>
      <c r="J8" t="n">
        <v>890.5099028095709</v>
      </c>
      <c r="K8" t="n">
        <v>0.089894467027582</v>
      </c>
      <c r="L8" t="n">
        <v>0.09990648584757786</v>
      </c>
      <c r="M8" t="n">
        <v>0.4412678862718981</v>
      </c>
      <c r="N8" t="n">
        <v>3.023871436519238</v>
      </c>
      <c r="O8" t="n">
        <v>0.4083630523997306</v>
      </c>
      <c r="P8" t="n">
        <v>0.25797850250944</v>
      </c>
      <c r="Q8" t="n">
        <v>3.178464547507538</v>
      </c>
      <c r="R8" t="n">
        <v>55.08469783988627</v>
      </c>
      <c r="S8" t="n">
        <v>1.78309236204987</v>
      </c>
      <c r="T8" t="n">
        <v>3.237001258013165</v>
      </c>
      <c r="U8" t="n">
        <v>0.5</v>
      </c>
      <c r="V8" t="n">
        <v>1166</v>
      </c>
      <c r="W8" t="n">
        <v>290</v>
      </c>
      <c r="X8" t="n">
        <v>1275.63</v>
      </c>
      <c r="Y8" t="n">
        <v>145</v>
      </c>
      <c r="Z8" t="n">
        <v>8135.53</v>
      </c>
      <c r="AA8" t="n">
        <v>1265.26</v>
      </c>
      <c r="AB8" t="n">
        <v>10.37</v>
      </c>
      <c r="AC8" t="n">
        <v>300</v>
      </c>
      <c r="AD8" t="n">
        <v>19.3</v>
      </c>
      <c r="AE8" t="n">
        <v>1332.45541265344</v>
      </c>
      <c r="AF8" t="n">
        <v>1.81080575079226</v>
      </c>
      <c r="AG8" t="n">
        <v>-54.6693079656955</v>
      </c>
      <c r="AH8" t="n">
        <v>1.31551974861254</v>
      </c>
      <c r="AI8" t="n">
        <v>0.984045586611453</v>
      </c>
      <c r="AJ8" t="n">
        <v>-0.00539105072302559</v>
      </c>
      <c r="AK8" t="n">
        <v>290</v>
      </c>
      <c r="AL8" t="n">
        <v>1248.3</v>
      </c>
      <c r="AM8" t="n">
        <v>615</v>
      </c>
      <c r="AN8" t="n">
        <v>8117.41</v>
      </c>
      <c r="AO8" t="n">
        <v>1265.11</v>
      </c>
      <c r="AP8" t="n">
        <v>-16.81</v>
      </c>
      <c r="AQ8" t="n">
        <v>1499.985</v>
      </c>
      <c r="AR8" t="n">
        <v>2</v>
      </c>
      <c r="AS8" t="n">
        <v>0.5</v>
      </c>
      <c r="AT8" t="n">
        <v>2</v>
      </c>
      <c r="AU8" t="n">
        <v>1792301061.6</v>
      </c>
      <c r="AV8" t="n">
        <v>989.690666666667</v>
      </c>
      <c r="AW8" t="n">
        <v>1000.038</v>
      </c>
      <c r="AX8" t="n">
        <v>17.6636166666667</v>
      </c>
      <c r="AY8" t="n">
        <v>15.3901833333333</v>
      </c>
      <c r="AZ8" t="n">
        <v>988.714333333333</v>
      </c>
      <c r="BA8" t="n">
        <v>17.74645</v>
      </c>
      <c r="BB8" t="n">
        <v>500.0995</v>
      </c>
      <c r="BC8" t="n">
        <v>100.847166666667</v>
      </c>
      <c r="BD8" t="n">
        <v>0.10001735</v>
      </c>
      <c r="BE8" t="n">
        <v>25.3000333333333</v>
      </c>
      <c r="BF8" t="n">
        <v>24.9936</v>
      </c>
      <c r="BG8" t="n">
        <v>999.9</v>
      </c>
      <c r="BH8" t="n">
        <v>9992.59666666667</v>
      </c>
      <c r="BI8" t="n">
        <v>5.95705333333333</v>
      </c>
      <c r="BJ8" t="n">
        <v>-10.3466333333333</v>
      </c>
      <c r="BK8" t="n">
        <v>1007.48666666667</v>
      </c>
      <c r="BL8" t="n">
        <v>1015.67</v>
      </c>
      <c r="BM8" t="n">
        <v>2.27343666666667</v>
      </c>
      <c r="BN8" t="n">
        <v>1000.038</v>
      </c>
      <c r="BO8" t="n">
        <v>15.3901833333333</v>
      </c>
      <c r="BP8" t="n">
        <v>1.78132666666667</v>
      </c>
      <c r="BQ8" t="n">
        <v>1.552055</v>
      </c>
      <c r="BR8" t="n">
        <v>15.6238666666667</v>
      </c>
      <c r="BS8" t="n">
        <v>13.49085</v>
      </c>
      <c r="BT8" t="n">
        <v>1499.985</v>
      </c>
      <c r="BU8" t="n">
        <v>0.9729989999999999</v>
      </c>
      <c r="BV8" t="n">
        <v>0.0270007</v>
      </c>
      <c r="BW8" t="n">
        <v>231.985666666667</v>
      </c>
      <c r="BX8" t="n">
        <v>5.00064</v>
      </c>
      <c r="BY8" t="n">
        <v>3741.99166666667</v>
      </c>
      <c r="BZ8" t="n">
        <v>15439.05</v>
      </c>
      <c r="CA8" t="n">
        <v>41.25</v>
      </c>
      <c r="CB8" t="n">
        <v>42</v>
      </c>
      <c r="CC8" t="n">
        <v>41.625</v>
      </c>
      <c r="CD8" t="n">
        <v>41.562</v>
      </c>
      <c r="CE8" t="n">
        <v>42.75</v>
      </c>
      <c r="CF8" t="n">
        <v>1454.615</v>
      </c>
      <c r="CG8" t="n">
        <v>40.37</v>
      </c>
      <c r="CH8" t="n">
        <v>2921.10000014305</v>
      </c>
      <c r="CI8" t="n">
        <v>232.0466</v>
      </c>
      <c r="CJ8" t="n">
        <v>1.1888461412874</v>
      </c>
      <c r="CK8" t="n">
        <v>5.4961538351703</v>
      </c>
      <c r="CL8" t="n">
        <v>3741.898</v>
      </c>
      <c r="CM8" t="n">
        <v>15</v>
      </c>
      <c r="CN8" t="n">
        <v>1792300995.1</v>
      </c>
      <c r="CO8" t="n">
        <v>1792300995.1</v>
      </c>
      <c r="CP8" t="n">
        <v>1792300993.1</v>
      </c>
      <c r="CQ8" t="n">
        <v>49</v>
      </c>
      <c r="CR8" t="n">
        <v>-0.19</v>
      </c>
      <c r="CS8" t="n">
        <v>0.004</v>
      </c>
      <c r="CT8" t="n">
        <v>0.983</v>
      </c>
      <c r="CU8" t="n">
        <v>-0.169</v>
      </c>
      <c r="CV8" t="n">
        <v>1000</v>
      </c>
      <c r="CW8" t="n">
        <v>15</v>
      </c>
      <c r="CX8" t="n">
        <v>0.15</v>
      </c>
      <c r="CY8" t="n">
        <v>0.04</v>
      </c>
      <c r="CZ8" t="n">
        <v>20.2042224917566</v>
      </c>
      <c r="DA8" t="n">
        <v>0.0910352361203714</v>
      </c>
      <c r="DB8" t="n">
        <v>0.11202501908945</v>
      </c>
      <c r="DC8" t="n">
        <v>1</v>
      </c>
      <c r="DD8" t="n">
        <v>-10.37864</v>
      </c>
      <c r="DE8" t="n">
        <v>0.191972932330808</v>
      </c>
      <c r="DF8" t="n">
        <v>0.0521478513459565</v>
      </c>
      <c r="DG8" t="n">
        <v>1</v>
      </c>
      <c r="DH8" t="n">
        <v>232.052205882353</v>
      </c>
      <c r="DI8" t="n">
        <v>-0.329946533590101</v>
      </c>
      <c r="DJ8" t="n">
        <v>0.202678211982581</v>
      </c>
      <c r="DK8" t="n">
        <v>1</v>
      </c>
      <c r="DL8" t="n">
        <v>3</v>
      </c>
      <c r="DM8" t="n">
        <v>3</v>
      </c>
      <c r="DN8" t="n">
        <v>3.12307</v>
      </c>
      <c r="DO8" t="n">
        <v>2.76487</v>
      </c>
      <c r="DP8" t="n">
        <v>0.164054</v>
      </c>
      <c r="DQ8" t="n">
        <v>0.169392</v>
      </c>
      <c r="DR8" t="n">
        <v>0.0936541</v>
      </c>
      <c r="DS8" t="n">
        <v>0.0878123</v>
      </c>
      <c r="DT8" t="n">
        <v>16281.1</v>
      </c>
      <c r="DU8" t="n">
        <v>24401.4</v>
      </c>
      <c r="DV8" t="n">
        <v>22758.3</v>
      </c>
      <c r="DW8" t="n">
        <v>30103.4</v>
      </c>
      <c r="DX8" t="n">
        <v>33838.9</v>
      </c>
      <c r="DY8" t="n">
        <v>34219.5</v>
      </c>
      <c r="DZ8" t="n">
        <v>43061.7</v>
      </c>
      <c r="EA8" t="n">
        <v>42880.1</v>
      </c>
      <c r="EB8" t="n">
        <v>1.97257</v>
      </c>
      <c r="EC8" t="n">
        <v>1.80982</v>
      </c>
      <c r="ED8" t="n">
        <v>0.06936489999999999</v>
      </c>
      <c r="EE8" t="n">
        <v>23.8523</v>
      </c>
      <c r="EF8" t="n">
        <v>999.9</v>
      </c>
      <c r="EG8" t="n">
        <v>39.928</v>
      </c>
      <c r="EH8" t="n">
        <v>32.559</v>
      </c>
      <c r="EI8" t="n">
        <v>19.513</v>
      </c>
      <c r="EJ8" t="n">
        <v>63.2915</v>
      </c>
      <c r="EK8" t="n">
        <v>36.3421</v>
      </c>
      <c r="EL8" t="n">
        <v>1</v>
      </c>
      <c r="EM8" t="n">
        <v>0.0695833</v>
      </c>
      <c r="EN8" t="n">
        <v>1.98016</v>
      </c>
      <c r="EO8" t="n">
        <v>20.2263</v>
      </c>
      <c r="EP8" t="n">
        <v>5.23017</v>
      </c>
      <c r="EQ8" t="n">
        <v>11.962</v>
      </c>
      <c r="ER8" t="n">
        <v>4.9692</v>
      </c>
      <c r="ES8" t="n">
        <v>3.29508</v>
      </c>
      <c r="ET8" t="n">
        <v>9999</v>
      </c>
      <c r="EU8" t="n">
        <v>9999</v>
      </c>
      <c r="EV8" t="n">
        <v>9999</v>
      </c>
      <c r="EW8" t="n">
        <v>999.9</v>
      </c>
      <c r="EX8" t="n">
        <v>4.96859</v>
      </c>
      <c r="EY8" t="n">
        <v>1.86246</v>
      </c>
      <c r="EZ8" t="n">
        <v>1.86398</v>
      </c>
      <c r="FA8" t="n">
        <v>1.86585</v>
      </c>
      <c r="FB8" t="n">
        <v>1.86295</v>
      </c>
      <c r="FC8" t="n">
        <v>1.86661</v>
      </c>
      <c r="FD8" t="n">
        <v>1.86339</v>
      </c>
      <c r="FE8" t="n">
        <v>1.86524</v>
      </c>
      <c r="FF8" t="n">
        <v>100</v>
      </c>
      <c r="FG8" t="n">
        <v>100</v>
      </c>
      <c r="FH8" t="n">
        <v>0.977</v>
      </c>
      <c r="FI8" t="n">
        <v>-0.08260000000000001</v>
      </c>
      <c r="FJ8" t="n">
        <v>0.548589765572326</v>
      </c>
      <c r="FK8" t="n">
        <v>0.000216929631606078</v>
      </c>
      <c r="FL8" t="n">
        <v>2.72263024731635e-07</v>
      </c>
      <c r="FM8" t="n">
        <v>-5.43792051235154e-11</v>
      </c>
      <c r="FN8" t="n">
        <v>-0.00349416116023201</v>
      </c>
      <c r="FO8" t="n">
        <v>-0.0584433849545669</v>
      </c>
      <c r="FP8" t="n">
        <v>0.00341568706061026</v>
      </c>
      <c r="FQ8" t="n">
        <v>-2.10952612506686e-05</v>
      </c>
      <c r="FR8" t="n">
        <v>1734</v>
      </c>
      <c r="FS8" t="n">
        <v>2</v>
      </c>
      <c r="FT8" t="n">
        <v>19</v>
      </c>
      <c r="FU8" t="n">
        <v>1.2</v>
      </c>
      <c r="FV8" t="n">
        <v>1.2</v>
      </c>
      <c r="FW8" t="n">
        <v>2.17773</v>
      </c>
      <c r="FX8" t="n">
        <v>2.55493</v>
      </c>
      <c r="FY8" t="n">
        <v>1.34644</v>
      </c>
      <c r="FZ8" t="n">
        <v>2.26196</v>
      </c>
      <c r="GA8" t="n">
        <v>1.55029</v>
      </c>
      <c r="GB8" t="n">
        <v>2.70874</v>
      </c>
      <c r="GC8" t="n">
        <v>36.3871</v>
      </c>
      <c r="GD8" t="n">
        <v>14.8763</v>
      </c>
      <c r="GE8" t="n">
        <v>18</v>
      </c>
      <c r="GF8" t="n">
        <v>501.244</v>
      </c>
      <c r="GG8" t="n">
        <v>473.902</v>
      </c>
      <c r="GH8" t="n">
        <v>21.8956</v>
      </c>
      <c r="GI8" t="n">
        <v>28.1231</v>
      </c>
      <c r="GJ8" t="n">
        <v>30</v>
      </c>
      <c r="GK8" t="n">
        <v>28.113</v>
      </c>
      <c r="GL8" t="n">
        <v>28.1273</v>
      </c>
      <c r="GM8" t="n">
        <v>43.5868</v>
      </c>
      <c r="GN8" t="n">
        <v>29.4881</v>
      </c>
      <c r="GO8" t="n">
        <v>18.6068</v>
      </c>
      <c r="GP8" t="n">
        <v>21.8955</v>
      </c>
      <c r="GQ8" t="n">
        <v>1000</v>
      </c>
      <c r="GR8" t="n">
        <v>15.3622</v>
      </c>
      <c r="GS8" t="n">
        <v>101.678</v>
      </c>
      <c r="GT8" t="n">
        <v>97.366</v>
      </c>
    </row>
    <row r="9">
      <c r="A9" t="n">
        <v>10</v>
      </c>
      <c r="B9" t="n">
        <v>1792301192.1</v>
      </c>
      <c r="C9" t="n">
        <v>1197.09999990463</v>
      </c>
      <c r="D9" t="n">
        <v>5</v>
      </c>
      <c r="E9" t="n">
        <v>1792301188.6</v>
      </c>
      <c r="F9" t="n">
        <v>0.005699828389261623</v>
      </c>
      <c r="G9" t="n">
        <v>5.699828389261623</v>
      </c>
      <c r="H9" t="n">
        <v>20.91871892681325</v>
      </c>
      <c r="I9" t="n">
        <v>1188.885</v>
      </c>
      <c r="J9" t="n">
        <v>1080.834099088098</v>
      </c>
      <c r="K9" t="n">
        <v>0.1090986956350409</v>
      </c>
      <c r="L9" t="n">
        <v>0.1200052837614011</v>
      </c>
      <c r="M9" t="n">
        <v>0.4330263427156246</v>
      </c>
      <c r="N9" t="n">
        <v>3.0241410509718</v>
      </c>
      <c r="O9" t="n">
        <v>0.4012944053517994</v>
      </c>
      <c r="P9" t="n">
        <v>0.2534659440503793</v>
      </c>
      <c r="Q9" t="n">
        <v>3.182013203436169</v>
      </c>
      <c r="R9" t="n">
        <v>55.23340169143749</v>
      </c>
      <c r="S9" t="n">
        <v>1.783574830897088</v>
      </c>
      <c r="T9" t="n">
        <v>3.229159849435065</v>
      </c>
      <c r="U9" t="n">
        <v>0.5</v>
      </c>
      <c r="V9" t="n">
        <v>1166</v>
      </c>
      <c r="W9" t="n">
        <v>290</v>
      </c>
      <c r="X9" t="n">
        <v>1275.63</v>
      </c>
      <c r="Y9" t="n">
        <v>145</v>
      </c>
      <c r="Z9" t="n">
        <v>8135.53</v>
      </c>
      <c r="AA9" t="n">
        <v>1265.26</v>
      </c>
      <c r="AB9" t="n">
        <v>10.37</v>
      </c>
      <c r="AC9" t="n">
        <v>300</v>
      </c>
      <c r="AD9" t="n">
        <v>19.3</v>
      </c>
      <c r="AE9" t="n">
        <v>1332.45541265344</v>
      </c>
      <c r="AF9" t="n">
        <v>1.81080575079226</v>
      </c>
      <c r="AG9" t="n">
        <v>-54.6693079656955</v>
      </c>
      <c r="AH9" t="n">
        <v>1.31551974861254</v>
      </c>
      <c r="AI9" t="n">
        <v>0.984045586611453</v>
      </c>
      <c r="AJ9" t="n">
        <v>-0.00539105072302559</v>
      </c>
      <c r="AK9" t="n">
        <v>290</v>
      </c>
      <c r="AL9" t="n">
        <v>1248.3</v>
      </c>
      <c r="AM9" t="n">
        <v>615</v>
      </c>
      <c r="AN9" t="n">
        <v>8117.41</v>
      </c>
      <c r="AO9" t="n">
        <v>1265.11</v>
      </c>
      <c r="AP9" t="n">
        <v>-16.81</v>
      </c>
      <c r="AQ9" t="n">
        <v>1499.99</v>
      </c>
      <c r="AR9" t="n">
        <v>2</v>
      </c>
      <c r="AS9" t="n">
        <v>0.5</v>
      </c>
      <c r="AT9" t="n">
        <v>2</v>
      </c>
      <c r="AU9" t="n">
        <v>1792301188.6</v>
      </c>
      <c r="AV9" t="n">
        <v>1188.885</v>
      </c>
      <c r="AW9" t="n">
        <v>1199.96333333333</v>
      </c>
      <c r="AX9" t="n">
        <v>17.6697666666667</v>
      </c>
      <c r="AY9" t="n">
        <v>15.4300666666667</v>
      </c>
      <c r="AZ9" t="n">
        <v>1187.315</v>
      </c>
      <c r="BA9" t="n">
        <v>17.7535666666667</v>
      </c>
      <c r="BB9" t="n">
        <v>499.987833333333</v>
      </c>
      <c r="BC9" t="n">
        <v>100.839333333333</v>
      </c>
      <c r="BD9" t="n">
        <v>0.100020566666667</v>
      </c>
      <c r="BE9" t="n">
        <v>25.2592666666667</v>
      </c>
      <c r="BF9" t="n">
        <v>25.0123166666667</v>
      </c>
      <c r="BG9" t="n">
        <v>999.9</v>
      </c>
      <c r="BH9" t="n">
        <v>9995.001666666671</v>
      </c>
      <c r="BI9" t="n">
        <v>5.94705</v>
      </c>
      <c r="BJ9" t="n">
        <v>-11.0775166666667</v>
      </c>
      <c r="BK9" t="n">
        <v>1210.27</v>
      </c>
      <c r="BL9" t="n">
        <v>1218.76666666667</v>
      </c>
      <c r="BM9" t="n">
        <v>2.23967666666667</v>
      </c>
      <c r="BN9" t="n">
        <v>1199.96333333333</v>
      </c>
      <c r="BO9" t="n">
        <v>15.4300666666667</v>
      </c>
      <c r="BP9" t="n">
        <v>1.78180833333333</v>
      </c>
      <c r="BQ9" t="n">
        <v>1.55596166666667</v>
      </c>
      <c r="BR9" t="n">
        <v>15.6281</v>
      </c>
      <c r="BS9" t="n">
        <v>13.5294166666667</v>
      </c>
      <c r="BT9" t="n">
        <v>1499.99</v>
      </c>
      <c r="BU9" t="n">
        <v>0.9729989999999999</v>
      </c>
      <c r="BV9" t="n">
        <v>0.0270007</v>
      </c>
      <c r="BW9" t="n">
        <v>232.274</v>
      </c>
      <c r="BX9" t="n">
        <v>5.00064</v>
      </c>
      <c r="BY9" t="n">
        <v>3744.355</v>
      </c>
      <c r="BZ9" t="n">
        <v>15439.1166666667</v>
      </c>
      <c r="CA9" t="n">
        <v>41.2603333333333</v>
      </c>
      <c r="CB9" t="n">
        <v>41.979</v>
      </c>
      <c r="CC9" t="n">
        <v>41.625</v>
      </c>
      <c r="CD9" t="n">
        <v>41.583</v>
      </c>
      <c r="CE9" t="n">
        <v>42.75</v>
      </c>
      <c r="CF9" t="n">
        <v>1454.62</v>
      </c>
      <c r="CG9" t="n">
        <v>40.37</v>
      </c>
      <c r="CH9" t="n">
        <v>3047.70000004768</v>
      </c>
      <c r="CI9" t="n">
        <v>232.177346153846</v>
      </c>
      <c r="CJ9" t="n">
        <v>0.969059817162332</v>
      </c>
      <c r="CK9" t="n">
        <v>10.9309401468096</v>
      </c>
      <c r="CL9" t="n">
        <v>3743.79807692308</v>
      </c>
      <c r="CM9" t="n">
        <v>15</v>
      </c>
      <c r="CN9" t="n">
        <v>1792301136.1</v>
      </c>
      <c r="CO9" t="n">
        <v>1792301136.1</v>
      </c>
      <c r="CP9" t="n">
        <v>1792301122.1</v>
      </c>
      <c r="CQ9" t="n">
        <v>50</v>
      </c>
      <c r="CR9" t="n">
        <v>0.472</v>
      </c>
      <c r="CS9" t="n">
        <v>-0.001</v>
      </c>
      <c r="CT9" t="n">
        <v>1.577</v>
      </c>
      <c r="CU9" t="n">
        <v>-0.168</v>
      </c>
      <c r="CV9" t="n">
        <v>1200</v>
      </c>
      <c r="CW9" t="n">
        <v>15</v>
      </c>
      <c r="CX9" t="n">
        <v>0.13</v>
      </c>
      <c r="CY9" t="n">
        <v>0.02</v>
      </c>
      <c r="CZ9" t="n">
        <v>20.8709587785789</v>
      </c>
      <c r="DA9" t="n">
        <v>0.475388090996416</v>
      </c>
      <c r="DB9" t="n">
        <v>0.2386409341524</v>
      </c>
      <c r="DC9" t="n">
        <v>1</v>
      </c>
      <c r="DD9" t="n">
        <v>-11.023525</v>
      </c>
      <c r="DE9" t="n">
        <v>-0.480338345864651</v>
      </c>
      <c r="DF9" t="n">
        <v>0.09905653877962819</v>
      </c>
      <c r="DG9" t="n">
        <v>1</v>
      </c>
      <c r="DH9" t="n">
        <v>232.141264705882</v>
      </c>
      <c r="DI9" t="n">
        <v>0.604629482146266</v>
      </c>
      <c r="DJ9" t="n">
        <v>0.208471229334428</v>
      </c>
      <c r="DK9" t="n">
        <v>1</v>
      </c>
      <c r="DL9" t="n">
        <v>3</v>
      </c>
      <c r="DM9" t="n">
        <v>3</v>
      </c>
      <c r="DN9" t="n">
        <v>3.12365</v>
      </c>
      <c r="DO9" t="n">
        <v>2.76549</v>
      </c>
      <c r="DP9" t="n">
        <v>0.183737</v>
      </c>
      <c r="DQ9" t="n">
        <v>0.189576</v>
      </c>
      <c r="DR9" t="n">
        <v>0.0936076</v>
      </c>
      <c r="DS9" t="n">
        <v>0.0878642</v>
      </c>
      <c r="DT9" t="n">
        <v>15898</v>
      </c>
      <c r="DU9" t="n">
        <v>23809.7</v>
      </c>
      <c r="DV9" t="n">
        <v>22758.7</v>
      </c>
      <c r="DW9" t="n">
        <v>30104.9</v>
      </c>
      <c r="DX9" t="n">
        <v>33842.9</v>
      </c>
      <c r="DY9" t="n">
        <v>34220.9</v>
      </c>
      <c r="DZ9" t="n">
        <v>43062.9</v>
      </c>
      <c r="EA9" t="n">
        <v>42882.6</v>
      </c>
      <c r="EB9" t="n">
        <v>1.97283</v>
      </c>
      <c r="EC9" t="n">
        <v>1.81025</v>
      </c>
      <c r="ED9" t="n">
        <v>0.0704825</v>
      </c>
      <c r="EE9" t="n">
        <v>23.8513</v>
      </c>
      <c r="EF9" t="n">
        <v>999.9</v>
      </c>
      <c r="EG9" t="n">
        <v>39.788</v>
      </c>
      <c r="EH9" t="n">
        <v>32.559</v>
      </c>
      <c r="EI9" t="n">
        <v>19.4447</v>
      </c>
      <c r="EJ9" t="n">
        <v>63.2816</v>
      </c>
      <c r="EK9" t="n">
        <v>35.605</v>
      </c>
      <c r="EL9" t="n">
        <v>1</v>
      </c>
      <c r="EM9" t="n">
        <v>0.0691387</v>
      </c>
      <c r="EN9" t="n">
        <v>2.06158</v>
      </c>
      <c r="EO9" t="n">
        <v>20.2257</v>
      </c>
      <c r="EP9" t="n">
        <v>5.23406</v>
      </c>
      <c r="EQ9" t="n">
        <v>11.962</v>
      </c>
      <c r="ER9" t="n">
        <v>4.9691</v>
      </c>
      <c r="ES9" t="n">
        <v>3.29515</v>
      </c>
      <c r="ET9" t="n">
        <v>9999</v>
      </c>
      <c r="EU9" t="n">
        <v>9999</v>
      </c>
      <c r="EV9" t="n">
        <v>9999</v>
      </c>
      <c r="EW9" t="n">
        <v>999.9</v>
      </c>
      <c r="EX9" t="n">
        <v>4.9686</v>
      </c>
      <c r="EY9" t="n">
        <v>1.86247</v>
      </c>
      <c r="EZ9" t="n">
        <v>1.86397</v>
      </c>
      <c r="FA9" t="n">
        <v>1.86586</v>
      </c>
      <c r="FB9" t="n">
        <v>1.86295</v>
      </c>
      <c r="FC9" t="n">
        <v>1.86661</v>
      </c>
      <c r="FD9" t="n">
        <v>1.8634</v>
      </c>
      <c r="FE9" t="n">
        <v>1.86527</v>
      </c>
      <c r="FF9" t="n">
        <v>100</v>
      </c>
      <c r="FG9" t="n">
        <v>100</v>
      </c>
      <c r="FH9" t="n">
        <v>1.57</v>
      </c>
      <c r="FI9" t="n">
        <v>-0.0843</v>
      </c>
      <c r="FJ9" t="n">
        <v>1.01936807907868</v>
      </c>
      <c r="FK9" t="n">
        <v>0.000216929631606078</v>
      </c>
      <c r="FL9" t="n">
        <v>2.72263024731635e-07</v>
      </c>
      <c r="FM9" t="n">
        <v>-5.43792051235154e-11</v>
      </c>
      <c r="FN9" t="n">
        <v>-0.00476584104978944</v>
      </c>
      <c r="FO9" t="n">
        <v>-0.0584433849545669</v>
      </c>
      <c r="FP9" t="n">
        <v>0.00341568706061026</v>
      </c>
      <c r="FQ9" t="n">
        <v>-2.10952612506686e-05</v>
      </c>
      <c r="FR9" t="n">
        <v>1734</v>
      </c>
      <c r="FS9" t="n">
        <v>2</v>
      </c>
      <c r="FT9" t="n">
        <v>19</v>
      </c>
      <c r="FU9" t="n">
        <v>0.9</v>
      </c>
      <c r="FV9" t="n">
        <v>1.2</v>
      </c>
      <c r="FW9" t="n">
        <v>2.51953</v>
      </c>
      <c r="FX9" t="n">
        <v>2.54761</v>
      </c>
      <c r="FY9" t="n">
        <v>1.34644</v>
      </c>
      <c r="FZ9" t="n">
        <v>2.26196</v>
      </c>
      <c r="GA9" t="n">
        <v>1.55029</v>
      </c>
      <c r="GB9" t="n">
        <v>2.70996</v>
      </c>
      <c r="GC9" t="n">
        <v>36.3871</v>
      </c>
      <c r="GD9" t="n">
        <v>14.85</v>
      </c>
      <c r="GE9" t="n">
        <v>18</v>
      </c>
      <c r="GF9" t="n">
        <v>501.422</v>
      </c>
      <c r="GG9" t="n">
        <v>474.196</v>
      </c>
      <c r="GH9" t="n">
        <v>21.7899</v>
      </c>
      <c r="GI9" t="n">
        <v>28.1302</v>
      </c>
      <c r="GJ9" t="n">
        <v>29.9999</v>
      </c>
      <c r="GK9" t="n">
        <v>28.1154</v>
      </c>
      <c r="GL9" t="n">
        <v>28.1273</v>
      </c>
      <c r="GM9" t="n">
        <v>50.4305</v>
      </c>
      <c r="GN9" t="n">
        <v>28.787</v>
      </c>
      <c r="GO9" t="n">
        <v>17.8384</v>
      </c>
      <c r="GP9" t="n">
        <v>21.7761</v>
      </c>
      <c r="GQ9" t="n">
        <v>1200</v>
      </c>
      <c r="GR9" t="n">
        <v>15.4401</v>
      </c>
      <c r="GS9" t="n">
        <v>101.681</v>
      </c>
      <c r="GT9" t="n">
        <v>97.37139999999999</v>
      </c>
    </row>
    <row r="10">
      <c r="A10" t="n">
        <v>11</v>
      </c>
      <c r="B10" t="n">
        <v>1792301313.1</v>
      </c>
      <c r="C10" t="n">
        <v>1318.09999990463</v>
      </c>
      <c r="D10" t="n">
        <v>5</v>
      </c>
      <c r="E10" t="n">
        <v>1792301309.6</v>
      </c>
      <c r="F10" t="n">
        <v>0.005501595140519217</v>
      </c>
      <c r="G10" t="n">
        <v>5.501595140519217</v>
      </c>
      <c r="H10" t="n">
        <v>20.45589639818825</v>
      </c>
      <c r="I10" t="n">
        <v>1488.51333333333</v>
      </c>
      <c r="J10" t="n">
        <v>1372.215114605284</v>
      </c>
      <c r="K10" t="n">
        <v>0.1385154626519962</v>
      </c>
      <c r="L10" t="n">
        <v>0.1502549497056366</v>
      </c>
      <c r="M10" t="n">
        <v>0.4149827995060795</v>
      </c>
      <c r="N10" t="n">
        <v>3.026405900360856</v>
      </c>
      <c r="O10" t="n">
        <v>0.3857647578174904</v>
      </c>
      <c r="P10" t="n">
        <v>0.2435564497181725</v>
      </c>
      <c r="Q10" t="n">
        <v>3.181516878714231</v>
      </c>
      <c r="R10" t="n">
        <v>55.19819677209444</v>
      </c>
      <c r="S10" t="n">
        <v>1.777275871326126</v>
      </c>
      <c r="T10" t="n">
        <v>3.219807847463291</v>
      </c>
      <c r="U10" t="n">
        <v>0.5</v>
      </c>
      <c r="V10" t="n">
        <v>1166</v>
      </c>
      <c r="W10" t="n">
        <v>290</v>
      </c>
      <c r="X10" t="n">
        <v>1275.63</v>
      </c>
      <c r="Y10" t="n">
        <v>145</v>
      </c>
      <c r="Z10" t="n">
        <v>8135.53</v>
      </c>
      <c r="AA10" t="n">
        <v>1265.26</v>
      </c>
      <c r="AB10" t="n">
        <v>10.37</v>
      </c>
      <c r="AC10" t="n">
        <v>300</v>
      </c>
      <c r="AD10" t="n">
        <v>19.3</v>
      </c>
      <c r="AE10" t="n">
        <v>1332.45541265344</v>
      </c>
      <c r="AF10" t="n">
        <v>1.81080575079226</v>
      </c>
      <c r="AG10" t="n">
        <v>-54.6693079656955</v>
      </c>
      <c r="AH10" t="n">
        <v>1.31551974861254</v>
      </c>
      <c r="AI10" t="n">
        <v>0.984045586611453</v>
      </c>
      <c r="AJ10" t="n">
        <v>-0.00539105072302559</v>
      </c>
      <c r="AK10" t="n">
        <v>290</v>
      </c>
      <c r="AL10" t="n">
        <v>1248.3</v>
      </c>
      <c r="AM10" t="n">
        <v>615</v>
      </c>
      <c r="AN10" t="n">
        <v>8117.41</v>
      </c>
      <c r="AO10" t="n">
        <v>1265.11</v>
      </c>
      <c r="AP10" t="n">
        <v>-16.81</v>
      </c>
      <c r="AQ10" t="n">
        <v>1499.995</v>
      </c>
      <c r="AR10" t="n">
        <v>2</v>
      </c>
      <c r="AS10" t="n">
        <v>0.5</v>
      </c>
      <c r="AT10" t="n">
        <v>2</v>
      </c>
      <c r="AU10" t="n">
        <v>1792301309.6</v>
      </c>
      <c r="AV10" t="n">
        <v>1488.51333333333</v>
      </c>
      <c r="AW10" t="n">
        <v>1499.97</v>
      </c>
      <c r="AX10" t="n">
        <v>17.6067333333333</v>
      </c>
      <c r="AY10" t="n">
        <v>15.4451</v>
      </c>
      <c r="AZ10" t="n">
        <v>1486.285</v>
      </c>
      <c r="BA10" t="n">
        <v>17.6911666666667</v>
      </c>
      <c r="BB10" t="n">
        <v>500.059833333333</v>
      </c>
      <c r="BC10" t="n">
        <v>100.843</v>
      </c>
      <c r="BD10" t="n">
        <v>0.09996526666666671</v>
      </c>
      <c r="BE10" t="n">
        <v>25.2105333333333</v>
      </c>
      <c r="BF10" t="n">
        <v>25.0097</v>
      </c>
      <c r="BG10" t="n">
        <v>999.9</v>
      </c>
      <c r="BH10" t="n">
        <v>10008.33</v>
      </c>
      <c r="BI10" t="n">
        <v>5.93068333333333</v>
      </c>
      <c r="BJ10" t="n">
        <v>-11.4565</v>
      </c>
      <c r="BK10" t="n">
        <v>1515.19166666667</v>
      </c>
      <c r="BL10" t="n">
        <v>1523.5</v>
      </c>
      <c r="BM10" t="n">
        <v>2.16163666666667</v>
      </c>
      <c r="BN10" t="n">
        <v>1499.97</v>
      </c>
      <c r="BO10" t="n">
        <v>15.4451</v>
      </c>
      <c r="BP10" t="n">
        <v>1.77551666666667</v>
      </c>
      <c r="BQ10" t="n">
        <v>1.55753</v>
      </c>
      <c r="BR10" t="n">
        <v>15.5729</v>
      </c>
      <c r="BS10" t="n">
        <v>13.5449333333333</v>
      </c>
      <c r="BT10" t="n">
        <v>1499.995</v>
      </c>
      <c r="BU10" t="n">
        <v>0.9729989999999999</v>
      </c>
      <c r="BV10" t="n">
        <v>0.0270007</v>
      </c>
      <c r="BW10" t="n">
        <v>231.599666666667</v>
      </c>
      <c r="BX10" t="n">
        <v>5.00064</v>
      </c>
      <c r="BY10" t="n">
        <v>3735.27833333333</v>
      </c>
      <c r="BZ10" t="n">
        <v>15439.1833333333</v>
      </c>
      <c r="CA10" t="n">
        <v>41.3016666666667</v>
      </c>
      <c r="CB10" t="n">
        <v>42</v>
      </c>
      <c r="CC10" t="n">
        <v>41.625</v>
      </c>
      <c r="CD10" t="n">
        <v>41.604</v>
      </c>
      <c r="CE10" t="n">
        <v>42.75</v>
      </c>
      <c r="CF10" t="n">
        <v>1454.625</v>
      </c>
      <c r="CG10" t="n">
        <v>40.37</v>
      </c>
      <c r="CH10" t="n">
        <v>3168.90000009537</v>
      </c>
      <c r="CI10" t="n">
        <v>231.701384615385</v>
      </c>
      <c r="CJ10" t="n">
        <v>-1.30441025924976</v>
      </c>
      <c r="CK10" t="n">
        <v>-7.21333333789037</v>
      </c>
      <c r="CL10" t="n">
        <v>3735.775</v>
      </c>
      <c r="CM10" t="n">
        <v>15</v>
      </c>
      <c r="CN10" t="n">
        <v>1792301265.1</v>
      </c>
      <c r="CO10" t="n">
        <v>1792301265.1</v>
      </c>
      <c r="CP10" t="n">
        <v>1792301251.1</v>
      </c>
      <c r="CQ10" t="n">
        <v>51</v>
      </c>
      <c r="CR10" t="n">
        <v>0.462</v>
      </c>
      <c r="CS10" t="n">
        <v>0.002</v>
      </c>
      <c r="CT10" t="n">
        <v>2.235</v>
      </c>
      <c r="CU10" t="n">
        <v>-0.164</v>
      </c>
      <c r="CV10" t="n">
        <v>1500</v>
      </c>
      <c r="CW10" t="n">
        <v>15</v>
      </c>
      <c r="CX10" t="n">
        <v>0.18</v>
      </c>
      <c r="CY10" t="n">
        <v>0.03</v>
      </c>
      <c r="CZ10" t="n">
        <v>20.4137547285322</v>
      </c>
      <c r="DA10" t="n">
        <v>-0.131310833795065</v>
      </c>
      <c r="DB10" t="n">
        <v>0.203800553353376</v>
      </c>
      <c r="DC10" t="n">
        <v>1</v>
      </c>
      <c r="DD10" t="n">
        <v>-11.47115</v>
      </c>
      <c r="DE10" t="n">
        <v>0.446156390977435</v>
      </c>
      <c r="DF10" t="n">
        <v>0.0927390236092661</v>
      </c>
      <c r="DG10" t="n">
        <v>1</v>
      </c>
      <c r="DH10" t="n">
        <v>231.683529411765</v>
      </c>
      <c r="DI10" t="n">
        <v>-0.153124522766719</v>
      </c>
      <c r="DJ10" t="n">
        <v>0.207035125649235</v>
      </c>
      <c r="DK10" t="n">
        <v>1</v>
      </c>
      <c r="DL10" t="n">
        <v>3</v>
      </c>
      <c r="DM10" t="n">
        <v>3</v>
      </c>
      <c r="DN10" t="n">
        <v>3.12335</v>
      </c>
      <c r="DO10" t="n">
        <v>2.76511</v>
      </c>
      <c r="DP10" t="n">
        <v>0.210054</v>
      </c>
      <c r="DQ10" t="n">
        <v>0.216445</v>
      </c>
      <c r="DR10" t="n">
        <v>0.09334240000000001</v>
      </c>
      <c r="DS10" t="n">
        <v>0.08803</v>
      </c>
      <c r="DT10" t="n">
        <v>15385.2</v>
      </c>
      <c r="DU10" t="n">
        <v>23020.2</v>
      </c>
      <c r="DV10" t="n">
        <v>22758.3</v>
      </c>
      <c r="DW10" t="n">
        <v>30104.6</v>
      </c>
      <c r="DX10" t="n">
        <v>33853.8</v>
      </c>
      <c r="DY10" t="n">
        <v>34216.2</v>
      </c>
      <c r="DZ10" t="n">
        <v>43061.8</v>
      </c>
      <c r="EA10" t="n">
        <v>42882.2</v>
      </c>
      <c r="EB10" t="n">
        <v>1.97285</v>
      </c>
      <c r="EC10" t="n">
        <v>1.81105</v>
      </c>
      <c r="ED10" t="n">
        <v>0.0715442</v>
      </c>
      <c r="EE10" t="n">
        <v>23.8197</v>
      </c>
      <c r="EF10" t="n">
        <v>999.9</v>
      </c>
      <c r="EG10" t="n">
        <v>39.696</v>
      </c>
      <c r="EH10" t="n">
        <v>32.559</v>
      </c>
      <c r="EI10" t="n">
        <v>19.4008</v>
      </c>
      <c r="EJ10" t="n">
        <v>63.0616</v>
      </c>
      <c r="EK10" t="n">
        <v>36.1659</v>
      </c>
      <c r="EL10" t="n">
        <v>1</v>
      </c>
      <c r="EM10" t="n">
        <v>0.0698323</v>
      </c>
      <c r="EN10" t="n">
        <v>2.26087</v>
      </c>
      <c r="EO10" t="n">
        <v>20.2227</v>
      </c>
      <c r="EP10" t="n">
        <v>5.23256</v>
      </c>
      <c r="EQ10" t="n">
        <v>11.962</v>
      </c>
      <c r="ER10" t="n">
        <v>4.96775</v>
      </c>
      <c r="ES10" t="n">
        <v>3.29505</v>
      </c>
      <c r="ET10" t="n">
        <v>9999</v>
      </c>
      <c r="EU10" t="n">
        <v>9999</v>
      </c>
      <c r="EV10" t="n">
        <v>9999</v>
      </c>
      <c r="EW10" t="n">
        <v>999.9</v>
      </c>
      <c r="EX10" t="n">
        <v>4.96854</v>
      </c>
      <c r="EY10" t="n">
        <v>1.86246</v>
      </c>
      <c r="EZ10" t="n">
        <v>1.86397</v>
      </c>
      <c r="FA10" t="n">
        <v>1.86587</v>
      </c>
      <c r="FB10" t="n">
        <v>1.86295</v>
      </c>
      <c r="FC10" t="n">
        <v>1.86661</v>
      </c>
      <c r="FD10" t="n">
        <v>1.86338</v>
      </c>
      <c r="FE10" t="n">
        <v>1.86528</v>
      </c>
      <c r="FF10" t="n">
        <v>100</v>
      </c>
      <c r="FG10" t="n">
        <v>100</v>
      </c>
      <c r="FH10" t="n">
        <v>2.22</v>
      </c>
      <c r="FI10" t="n">
        <v>-0.0852</v>
      </c>
      <c r="FJ10" t="n">
        <v>1.48216286048532</v>
      </c>
      <c r="FK10" t="n">
        <v>0.000216929631606078</v>
      </c>
      <c r="FL10" t="n">
        <v>2.72263024731635e-07</v>
      </c>
      <c r="FM10" t="n">
        <v>-5.43792051235154e-11</v>
      </c>
      <c r="FN10" t="n">
        <v>-0.00270958988606106</v>
      </c>
      <c r="FO10" t="n">
        <v>-0.0584433849545669</v>
      </c>
      <c r="FP10" t="n">
        <v>0.00341568706061026</v>
      </c>
      <c r="FQ10" t="n">
        <v>-2.10952612506686e-05</v>
      </c>
      <c r="FR10" t="n">
        <v>1734</v>
      </c>
      <c r="FS10" t="n">
        <v>2</v>
      </c>
      <c r="FT10" t="n">
        <v>19</v>
      </c>
      <c r="FU10" t="n">
        <v>0.8</v>
      </c>
      <c r="FV10" t="n">
        <v>1</v>
      </c>
      <c r="FW10" t="n">
        <v>3.00781</v>
      </c>
      <c r="FX10" t="n">
        <v>2.54761</v>
      </c>
      <c r="FY10" t="n">
        <v>1.34644</v>
      </c>
      <c r="FZ10" t="n">
        <v>2.26196</v>
      </c>
      <c r="GA10" t="n">
        <v>1.55029</v>
      </c>
      <c r="GB10" t="n">
        <v>2.49023</v>
      </c>
      <c r="GC10" t="n">
        <v>36.3635</v>
      </c>
      <c r="GD10" t="n">
        <v>14.8062</v>
      </c>
      <c r="GE10" t="n">
        <v>18</v>
      </c>
      <c r="GF10" t="n">
        <v>501.396</v>
      </c>
      <c r="GG10" t="n">
        <v>474.707</v>
      </c>
      <c r="GH10" t="n">
        <v>21.6654</v>
      </c>
      <c r="GI10" t="n">
        <v>28.1266</v>
      </c>
      <c r="GJ10" t="n">
        <v>30.0003</v>
      </c>
      <c r="GK10" t="n">
        <v>28.1106</v>
      </c>
      <c r="GL10" t="n">
        <v>28.1226</v>
      </c>
      <c r="GM10" t="n">
        <v>60.2094</v>
      </c>
      <c r="GN10" t="n">
        <v>28.6348</v>
      </c>
      <c r="GO10" t="n">
        <v>17.7693</v>
      </c>
      <c r="GP10" t="n">
        <v>21.6542</v>
      </c>
      <c r="GQ10" t="n">
        <v>1500</v>
      </c>
      <c r="GR10" t="n">
        <v>15.4216</v>
      </c>
      <c r="GS10" t="n">
        <v>101.678</v>
      </c>
      <c r="GT10" t="n">
        <v>97.3706</v>
      </c>
    </row>
    <row r="11">
      <c r="A11" t="n">
        <v>12</v>
      </c>
      <c r="B11" t="n">
        <v>1792301440.1</v>
      </c>
      <c r="C11" t="n">
        <v>1445.09999990463</v>
      </c>
      <c r="D11" t="n">
        <v>5</v>
      </c>
      <c r="E11" t="n">
        <v>1792301436.6</v>
      </c>
      <c r="F11" t="n">
        <v>0.005185093686320627</v>
      </c>
      <c r="G11" t="n">
        <v>5.185093686320627</v>
      </c>
      <c r="H11" t="n">
        <v>20.94175483782263</v>
      </c>
      <c r="I11" t="n">
        <v>1787.95166666667</v>
      </c>
      <c r="J11" t="n">
        <v>1657.244064196834</v>
      </c>
      <c r="K11" t="n">
        <v>0.1673057756911981</v>
      </c>
      <c r="L11" t="n">
        <v>0.1805012592608139</v>
      </c>
      <c r="M11" t="n">
        <v>0.3878776542434465</v>
      </c>
      <c r="N11" t="n">
        <v>3.026110183438049</v>
      </c>
      <c r="O11" t="n">
        <v>0.3622229822829457</v>
      </c>
      <c r="P11" t="n">
        <v>0.2285527818539576</v>
      </c>
      <c r="Q11" t="n">
        <v>3.179516459481527</v>
      </c>
      <c r="R11" t="n">
        <v>55.13066989279262</v>
      </c>
      <c r="S11" t="n">
        <v>1.769816587671219</v>
      </c>
      <c r="T11" t="n">
        <v>3.210221445001147</v>
      </c>
      <c r="U11" t="n">
        <v>0.5</v>
      </c>
      <c r="V11" t="n">
        <v>1166</v>
      </c>
      <c r="W11" t="n">
        <v>290</v>
      </c>
      <c r="X11" t="n">
        <v>1275.63</v>
      </c>
      <c r="Y11" t="n">
        <v>145</v>
      </c>
      <c r="Z11" t="n">
        <v>8135.53</v>
      </c>
      <c r="AA11" t="n">
        <v>1265.26</v>
      </c>
      <c r="AB11" t="n">
        <v>10.37</v>
      </c>
      <c r="AC11" t="n">
        <v>300</v>
      </c>
      <c r="AD11" t="n">
        <v>19.3</v>
      </c>
      <c r="AE11" t="n">
        <v>1332.45541265344</v>
      </c>
      <c r="AF11" t="n">
        <v>1.81080575079226</v>
      </c>
      <c r="AG11" t="n">
        <v>-54.6693079656955</v>
      </c>
      <c r="AH11" t="n">
        <v>1.31551974861254</v>
      </c>
      <c r="AI11" t="n">
        <v>0.984045586611453</v>
      </c>
      <c r="AJ11" t="n">
        <v>-0.00539105072302559</v>
      </c>
      <c r="AK11" t="n">
        <v>290</v>
      </c>
      <c r="AL11" t="n">
        <v>1248.3</v>
      </c>
      <c r="AM11" t="n">
        <v>615</v>
      </c>
      <c r="AN11" t="n">
        <v>8117.41</v>
      </c>
      <c r="AO11" t="n">
        <v>1265.11</v>
      </c>
      <c r="AP11" t="n">
        <v>-16.81</v>
      </c>
      <c r="AQ11" t="n">
        <v>1500.04833333333</v>
      </c>
      <c r="AR11" t="n">
        <v>2</v>
      </c>
      <c r="AS11" t="n">
        <v>0.5</v>
      </c>
      <c r="AT11" t="n">
        <v>2</v>
      </c>
      <c r="AU11" t="n">
        <v>1792301436.6</v>
      </c>
      <c r="AV11" t="n">
        <v>1787.95166666667</v>
      </c>
      <c r="AW11" t="n">
        <v>1800.035</v>
      </c>
      <c r="AX11" t="n">
        <v>17.5308833333333</v>
      </c>
      <c r="AY11" t="n">
        <v>15.4934833333333</v>
      </c>
      <c r="AZ11" t="n">
        <v>1785.44166666667</v>
      </c>
      <c r="BA11" t="n">
        <v>17.6165</v>
      </c>
      <c r="BB11" t="n">
        <v>500.068166666667</v>
      </c>
      <c r="BC11" t="n">
        <v>100.854166666667</v>
      </c>
      <c r="BD11" t="n">
        <v>0.100049616666667</v>
      </c>
      <c r="BE11" t="n">
        <v>25.16045</v>
      </c>
      <c r="BF11" t="n">
        <v>24.99915</v>
      </c>
      <c r="BG11" t="n">
        <v>999.9</v>
      </c>
      <c r="BH11" t="n">
        <v>10005.4333333333</v>
      </c>
      <c r="BI11" t="n">
        <v>5.94932333333333</v>
      </c>
      <c r="BJ11" t="n">
        <v>-12.0867666666667</v>
      </c>
      <c r="BK11" t="n">
        <v>1819.85333333333</v>
      </c>
      <c r="BL11" t="n">
        <v>1828.36333333333</v>
      </c>
      <c r="BM11" t="n">
        <v>2.03739</v>
      </c>
      <c r="BN11" t="n">
        <v>1800.035</v>
      </c>
      <c r="BO11" t="n">
        <v>15.4934833333333</v>
      </c>
      <c r="BP11" t="n">
        <v>1.76806</v>
      </c>
      <c r="BQ11" t="n">
        <v>1.56258166666667</v>
      </c>
      <c r="BR11" t="n">
        <v>15.5072166666667</v>
      </c>
      <c r="BS11" t="n">
        <v>13.5946666666667</v>
      </c>
      <c r="BT11" t="n">
        <v>1500.04833333333</v>
      </c>
      <c r="BU11" t="n">
        <v>0.973000333333333</v>
      </c>
      <c r="BV11" t="n">
        <v>0.0269994166666667</v>
      </c>
      <c r="BW11" t="n">
        <v>231.549333333333</v>
      </c>
      <c r="BX11" t="n">
        <v>5.00064</v>
      </c>
      <c r="BY11" t="n">
        <v>3732.98833333333</v>
      </c>
      <c r="BZ11" t="n">
        <v>15439.7</v>
      </c>
      <c r="CA11" t="n">
        <v>41.312</v>
      </c>
      <c r="CB11" t="n">
        <v>42</v>
      </c>
      <c r="CC11" t="n">
        <v>41.625</v>
      </c>
      <c r="CD11" t="n">
        <v>41.604</v>
      </c>
      <c r="CE11" t="n">
        <v>42.75</v>
      </c>
      <c r="CF11" t="n">
        <v>1454.67833333333</v>
      </c>
      <c r="CG11" t="n">
        <v>40.37</v>
      </c>
      <c r="CH11" t="n">
        <v>3296.10000014305</v>
      </c>
      <c r="CI11" t="n">
        <v>231.481846153846</v>
      </c>
      <c r="CJ11" t="n">
        <v>1.40157264409151</v>
      </c>
      <c r="CK11" t="n">
        <v>10.7323076907383</v>
      </c>
      <c r="CL11" t="n">
        <v>3732.63461538462</v>
      </c>
      <c r="CM11" t="n">
        <v>15</v>
      </c>
      <c r="CN11" t="n">
        <v>1792301386.1</v>
      </c>
      <c r="CO11" t="n">
        <v>1792301386.1</v>
      </c>
      <c r="CP11" t="n">
        <v>1792301369.1</v>
      </c>
      <c r="CQ11" t="n">
        <v>52</v>
      </c>
      <c r="CR11" t="n">
        <v>0.037</v>
      </c>
      <c r="CS11" t="n">
        <v>0.002</v>
      </c>
      <c r="CT11" t="n">
        <v>2.473</v>
      </c>
      <c r="CU11" t="n">
        <v>-0.162</v>
      </c>
      <c r="CV11" t="n">
        <v>1800</v>
      </c>
      <c r="CW11" t="n">
        <v>15</v>
      </c>
      <c r="CX11" t="n">
        <v>0.2</v>
      </c>
      <c r="CY11" t="n">
        <v>0.02</v>
      </c>
      <c r="CZ11" t="n">
        <v>20.7803687939804</v>
      </c>
      <c r="DA11" t="n">
        <v>0.668827393514601</v>
      </c>
      <c r="DB11" t="n">
        <v>0.173333281788974</v>
      </c>
      <c r="DC11" t="n">
        <v>0</v>
      </c>
      <c r="DD11" t="n">
        <v>-12.0539904761905</v>
      </c>
      <c r="DE11" t="n">
        <v>0.0639428571428431</v>
      </c>
      <c r="DF11" t="n">
        <v>0.0720307666061419</v>
      </c>
      <c r="DG11" t="n">
        <v>1</v>
      </c>
      <c r="DH11" t="n">
        <v>231.505058823529</v>
      </c>
      <c r="DI11" t="n">
        <v>0.104201679820945</v>
      </c>
      <c r="DJ11" t="n">
        <v>0.197848715403589</v>
      </c>
      <c r="DK11" t="n">
        <v>1</v>
      </c>
      <c r="DL11" t="n">
        <v>2</v>
      </c>
      <c r="DM11" t="n">
        <v>3</v>
      </c>
      <c r="DN11" t="n">
        <v>3.12367</v>
      </c>
      <c r="DO11" t="n">
        <v>2.76536</v>
      </c>
      <c r="DP11" t="n">
        <v>0.233288</v>
      </c>
      <c r="DQ11" t="n">
        <v>0.240172</v>
      </c>
      <c r="DR11" t="n">
        <v>0.0931235</v>
      </c>
      <c r="DS11" t="n">
        <v>0.0882424</v>
      </c>
      <c r="DT11" t="n">
        <v>14933</v>
      </c>
      <c r="DU11" t="n">
        <v>22323.1</v>
      </c>
      <c r="DV11" t="n">
        <v>22758.6</v>
      </c>
      <c r="DW11" t="n">
        <v>30104.4</v>
      </c>
      <c r="DX11" t="n">
        <v>33864.2</v>
      </c>
      <c r="DY11" t="n">
        <v>34209.7</v>
      </c>
      <c r="DZ11" t="n">
        <v>43062.5</v>
      </c>
      <c r="EA11" t="n">
        <v>42882</v>
      </c>
      <c r="EB11" t="n">
        <v>1.97313</v>
      </c>
      <c r="EC11" t="n">
        <v>1.81195</v>
      </c>
      <c r="ED11" t="n">
        <v>0.0741854</v>
      </c>
      <c r="EE11" t="n">
        <v>23.7882</v>
      </c>
      <c r="EF11" t="n">
        <v>999.9</v>
      </c>
      <c r="EG11" t="n">
        <v>39.58</v>
      </c>
      <c r="EH11" t="n">
        <v>32.579</v>
      </c>
      <c r="EI11" t="n">
        <v>19.3624</v>
      </c>
      <c r="EJ11" t="n">
        <v>62.9616</v>
      </c>
      <c r="EK11" t="n">
        <v>35.7091</v>
      </c>
      <c r="EL11" t="n">
        <v>1</v>
      </c>
      <c r="EM11" t="n">
        <v>0.00480691</v>
      </c>
      <c r="EN11" t="n">
        <v>2.13573</v>
      </c>
      <c r="EO11" t="n">
        <v>20.2253</v>
      </c>
      <c r="EP11" t="n">
        <v>5.23376</v>
      </c>
      <c r="EQ11" t="n">
        <v>11.962</v>
      </c>
      <c r="ER11" t="n">
        <v>4.9693</v>
      </c>
      <c r="ES11" t="n">
        <v>3.29508</v>
      </c>
      <c r="ET11" t="n">
        <v>9999</v>
      </c>
      <c r="EU11" t="n">
        <v>9999</v>
      </c>
      <c r="EV11" t="n">
        <v>9999</v>
      </c>
      <c r="EW11" t="n">
        <v>999.9</v>
      </c>
      <c r="EX11" t="n">
        <v>4.96855</v>
      </c>
      <c r="EY11" t="n">
        <v>1.86247</v>
      </c>
      <c r="EZ11" t="n">
        <v>1.86394</v>
      </c>
      <c r="FA11" t="n">
        <v>1.86587</v>
      </c>
      <c r="FB11" t="n">
        <v>1.86295</v>
      </c>
      <c r="FC11" t="n">
        <v>1.86661</v>
      </c>
      <c r="FD11" t="n">
        <v>1.8634</v>
      </c>
      <c r="FE11" t="n">
        <v>1.86531</v>
      </c>
      <c r="FF11" t="n">
        <v>100</v>
      </c>
      <c r="FG11" t="n">
        <v>100</v>
      </c>
      <c r="FH11" t="n">
        <v>2.5</v>
      </c>
      <c r="FI11" t="n">
        <v>-0.0859</v>
      </c>
      <c r="FJ11" t="n">
        <v>1.56176896928009</v>
      </c>
      <c r="FK11" t="n">
        <v>0.000216929631606078</v>
      </c>
      <c r="FL11" t="n">
        <v>2.72263024731635e-07</v>
      </c>
      <c r="FM11" t="n">
        <v>-5.43792051235154e-11</v>
      </c>
      <c r="FN11" t="n">
        <v>-0.000797365827118</v>
      </c>
      <c r="FO11" t="n">
        <v>-0.0584433849545669</v>
      </c>
      <c r="FP11" t="n">
        <v>0.00341568706061026</v>
      </c>
      <c r="FQ11" t="n">
        <v>-2.10952612506686e-05</v>
      </c>
      <c r="FR11" t="n">
        <v>1734</v>
      </c>
      <c r="FS11" t="n">
        <v>2</v>
      </c>
      <c r="FT11" t="n">
        <v>19</v>
      </c>
      <c r="FU11" t="n">
        <v>0.9</v>
      </c>
      <c r="FV11" t="n">
        <v>1.2</v>
      </c>
      <c r="FW11" t="n">
        <v>3.47168</v>
      </c>
      <c r="FX11" t="n">
        <v>2.54028</v>
      </c>
      <c r="FY11" t="n">
        <v>1.34644</v>
      </c>
      <c r="FZ11" t="n">
        <v>2.26196</v>
      </c>
      <c r="GA11" t="n">
        <v>1.55029</v>
      </c>
      <c r="GB11" t="n">
        <v>2.50977</v>
      </c>
      <c r="GC11" t="n">
        <v>36.3635</v>
      </c>
      <c r="GD11" t="n">
        <v>14.7887</v>
      </c>
      <c r="GE11" t="n">
        <v>18</v>
      </c>
      <c r="GF11" t="n">
        <v>501.547</v>
      </c>
      <c r="GG11" t="n">
        <v>475.309</v>
      </c>
      <c r="GH11" t="n">
        <v>21.4897</v>
      </c>
      <c r="GI11" t="n">
        <v>28.1255</v>
      </c>
      <c r="GJ11" t="n">
        <v>29.9999</v>
      </c>
      <c r="GK11" t="n">
        <v>28.1082</v>
      </c>
      <c r="GL11" t="n">
        <v>28.1202</v>
      </c>
      <c r="GM11" t="n">
        <v>69.47790000000001</v>
      </c>
      <c r="GN11" t="n">
        <v>28.1552</v>
      </c>
      <c r="GO11" t="n">
        <v>17.3785</v>
      </c>
      <c r="GP11" t="n">
        <v>21.5802</v>
      </c>
      <c r="GQ11" t="n">
        <v>1800</v>
      </c>
      <c r="GR11" t="n">
        <v>15.4736</v>
      </c>
      <c r="GS11" t="n">
        <v>101.68</v>
      </c>
      <c r="GT11" t="n">
        <v>97.37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Ci</t>
        </is>
      </c>
      <c r="C1" t="inlineStr">
        <is>
          <t>gsw</t>
        </is>
      </c>
      <c r="D1" t="inlineStr">
        <is>
          <t>RHcham</t>
        </is>
      </c>
      <c r="E1" t="inlineStr">
        <is>
          <t>Leak</t>
        </is>
      </c>
      <c r="F1" t="inlineStr">
        <is>
          <t>Qin</t>
        </is>
      </c>
      <c r="G1" t="inlineStr">
        <is>
          <t>CO2_r</t>
        </is>
      </c>
      <c r="H1" t="inlineStr">
        <is>
          <t>CO2_s</t>
        </is>
      </c>
      <c r="I1" t="inlineStr">
        <is>
          <t>Flow</t>
        </is>
      </c>
      <c r="J1" t="inlineStr">
        <is>
          <t>Tair</t>
        </is>
      </c>
      <c r="K1" t="inlineStr">
        <is>
          <t>Tleaf</t>
        </is>
      </c>
      <c r="L1" t="inlineStr">
        <is>
          <t>Fan_speed</t>
        </is>
      </c>
    </row>
    <row r="2">
      <c r="A2" t="n">
        <v>15.94652610621733</v>
      </c>
      <c r="B2" t="n">
        <v>305.9600894078797</v>
      </c>
      <c r="C2" t="n">
        <v>0.3403916153418927</v>
      </c>
      <c r="D2" t="n">
        <v>55</v>
      </c>
      <c r="E2" t="n">
        <v>0</v>
      </c>
      <c r="F2" t="n">
        <v>1500</v>
      </c>
      <c r="G2" t="n">
        <v>400</v>
      </c>
      <c r="H2" t="n">
        <v>392.9</v>
      </c>
      <c r="I2" t="n">
        <v>500</v>
      </c>
      <c r="J2" t="n">
        <v>25.1</v>
      </c>
      <c r="K2" t="n">
        <v>25</v>
      </c>
      <c r="L2" t="n">
        <v>10000.2</v>
      </c>
    </row>
    <row r="3">
      <c r="A3" t="n">
        <v>12.25189166294096</v>
      </c>
      <c r="B3" t="n">
        <v>230.5858313272784</v>
      </c>
      <c r="C3" t="n">
        <v>0.3570728335870431</v>
      </c>
      <c r="D3" t="n">
        <v>55.1</v>
      </c>
      <c r="E3" t="n">
        <v>0</v>
      </c>
      <c r="F3" t="n">
        <v>1500</v>
      </c>
      <c r="G3" t="n">
        <v>300</v>
      </c>
      <c r="H3" t="n">
        <v>294.5</v>
      </c>
      <c r="I3" t="n">
        <v>500</v>
      </c>
      <c r="J3" t="n">
        <v>25.1</v>
      </c>
      <c r="K3" t="n">
        <v>25</v>
      </c>
      <c r="L3" t="n">
        <v>9992.799999999999</v>
      </c>
    </row>
    <row r="4">
      <c r="A4" t="n">
        <v>7.495290749071131</v>
      </c>
      <c r="B4" t="n">
        <v>158.5608564330606</v>
      </c>
      <c r="C4" t="n">
        <v>0.3735696900692522</v>
      </c>
      <c r="D4" t="n">
        <v>55.1</v>
      </c>
      <c r="E4" t="n">
        <v>0</v>
      </c>
      <c r="F4" t="n">
        <v>1500</v>
      </c>
      <c r="G4" t="n">
        <v>200</v>
      </c>
      <c r="H4" t="n">
        <v>196.6</v>
      </c>
      <c r="I4" t="n">
        <v>500</v>
      </c>
      <c r="J4" t="n">
        <v>25.1</v>
      </c>
      <c r="K4" t="n">
        <v>25</v>
      </c>
      <c r="L4" t="n">
        <v>10000.4</v>
      </c>
    </row>
    <row r="5">
      <c r="A5" t="n">
        <v>2.060618778935288</v>
      </c>
      <c r="B5" t="n">
        <v>88.05143366070486</v>
      </c>
      <c r="C5" t="n">
        <v>0.3982919300971302</v>
      </c>
      <c r="D5" t="n">
        <v>55.2</v>
      </c>
      <c r="E5" t="n">
        <v>0</v>
      </c>
      <c r="F5" t="n">
        <v>1500</v>
      </c>
      <c r="G5" t="n">
        <v>100</v>
      </c>
      <c r="H5" t="n">
        <v>99</v>
      </c>
      <c r="I5" t="n">
        <v>500.2</v>
      </c>
      <c r="J5" t="n">
        <v>25.2</v>
      </c>
      <c r="K5" t="n">
        <v>25</v>
      </c>
      <c r="L5" t="n">
        <v>10003.3</v>
      </c>
    </row>
    <row r="6">
      <c r="A6" t="n">
        <v>-0.5912346359321973</v>
      </c>
      <c r="B6" t="n">
        <v>51.42178306749216</v>
      </c>
      <c r="C6" t="n">
        <v>0.4120511418617077</v>
      </c>
      <c r="D6" t="n">
        <v>55</v>
      </c>
      <c r="E6" t="n">
        <v>0</v>
      </c>
      <c r="F6" t="n">
        <v>1500</v>
      </c>
      <c r="G6" t="n">
        <v>50</v>
      </c>
      <c r="H6" t="n">
        <v>50.1</v>
      </c>
      <c r="I6" t="n">
        <v>500.1</v>
      </c>
      <c r="J6" t="n">
        <v>25.2</v>
      </c>
      <c r="K6" t="n">
        <v>25</v>
      </c>
      <c r="L6" t="n">
        <v>10004.9</v>
      </c>
    </row>
    <row r="7">
      <c r="A7" t="n">
        <v>15.02101802077672</v>
      </c>
      <c r="B7" t="n">
        <v>326.4469102465674</v>
      </c>
      <c r="C7" t="n">
        <v>0.4386648887860037</v>
      </c>
      <c r="D7" t="n">
        <v>54.8</v>
      </c>
      <c r="E7" t="n">
        <v>0</v>
      </c>
      <c r="F7" t="n">
        <v>1500</v>
      </c>
      <c r="G7" t="n">
        <v>400</v>
      </c>
      <c r="H7" t="n">
        <v>393.1</v>
      </c>
      <c r="I7" t="n">
        <v>500</v>
      </c>
      <c r="J7" t="n">
        <v>25.3</v>
      </c>
      <c r="K7" t="n">
        <v>25</v>
      </c>
      <c r="L7" t="n">
        <v>10021.8</v>
      </c>
    </row>
    <row r="8">
      <c r="A8" t="n">
        <v>15.81620306247524</v>
      </c>
      <c r="B8" t="n">
        <v>324.8923260132037</v>
      </c>
      <c r="C8" t="n">
        <v>0.4535769193220134</v>
      </c>
      <c r="D8" t="n">
        <v>54.9</v>
      </c>
      <c r="E8" t="n">
        <v>0</v>
      </c>
      <c r="F8" t="n">
        <v>1500</v>
      </c>
      <c r="G8" t="n">
        <v>400</v>
      </c>
      <c r="H8" t="n">
        <v>392.7</v>
      </c>
      <c r="I8" t="n">
        <v>499.9</v>
      </c>
      <c r="J8" t="n">
        <v>25.3</v>
      </c>
      <c r="K8" t="n">
        <v>25</v>
      </c>
      <c r="L8" t="n">
        <v>10011.2</v>
      </c>
    </row>
    <row r="9">
      <c r="A9" t="n">
        <v>19.74617274799044</v>
      </c>
      <c r="B9" t="n">
        <v>601.8951155734463</v>
      </c>
      <c r="C9" t="n">
        <v>0.4573490945388386</v>
      </c>
      <c r="D9" t="n">
        <v>55</v>
      </c>
      <c r="E9" t="n">
        <v>0</v>
      </c>
      <c r="F9" t="n">
        <v>1500</v>
      </c>
      <c r="G9" t="n">
        <v>700</v>
      </c>
      <c r="H9" t="n">
        <v>690.5</v>
      </c>
      <c r="I9" t="n">
        <v>500</v>
      </c>
      <c r="J9" t="n">
        <v>25.3</v>
      </c>
      <c r="K9" t="n">
        <v>25</v>
      </c>
      <c r="L9" t="n">
        <v>9998.299999999999</v>
      </c>
    </row>
    <row r="10">
      <c r="A10" t="n">
        <v>20.14620802383519</v>
      </c>
      <c r="B10" t="n">
        <v>890.5099028095709</v>
      </c>
      <c r="C10" t="n">
        <v>0.4412678862718981</v>
      </c>
      <c r="D10" t="n">
        <v>55.1</v>
      </c>
      <c r="E10" t="n">
        <v>0</v>
      </c>
      <c r="F10" t="n">
        <v>1500</v>
      </c>
      <c r="G10" t="n">
        <v>1000</v>
      </c>
      <c r="H10" t="n">
        <v>989.7</v>
      </c>
      <c r="I10" t="n">
        <v>500.1</v>
      </c>
      <c r="J10" t="n">
        <v>25.3</v>
      </c>
      <c r="K10" t="n">
        <v>25</v>
      </c>
      <c r="L10" t="n">
        <v>9992.6</v>
      </c>
    </row>
    <row r="11">
      <c r="A11" t="n">
        <v>20.91871892681325</v>
      </c>
      <c r="B11" t="n">
        <v>1080.834099088098</v>
      </c>
      <c r="C11" t="n">
        <v>0.4330263427156246</v>
      </c>
      <c r="D11" t="n">
        <v>55.2</v>
      </c>
      <c r="E11" t="n">
        <v>0</v>
      </c>
      <c r="F11" t="n">
        <v>1500</v>
      </c>
      <c r="G11" t="n">
        <v>1200</v>
      </c>
      <c r="H11" t="n">
        <v>1188.9</v>
      </c>
      <c r="I11" t="n">
        <v>500</v>
      </c>
      <c r="J11" t="n">
        <v>25.3</v>
      </c>
      <c r="K11" t="n">
        <v>25</v>
      </c>
      <c r="L11" t="n">
        <v>9995</v>
      </c>
    </row>
    <row r="12">
      <c r="A12" t="n">
        <v>20.45589639818825</v>
      </c>
      <c r="B12" t="n">
        <v>1372.215114605284</v>
      </c>
      <c r="C12" t="n">
        <v>0.4149827995060795</v>
      </c>
      <c r="D12" t="n">
        <v>55.2</v>
      </c>
      <c r="E12" t="n">
        <v>0</v>
      </c>
      <c r="F12" t="n">
        <v>1500</v>
      </c>
      <c r="G12" t="n">
        <v>1500</v>
      </c>
      <c r="H12" t="n">
        <v>1488.5</v>
      </c>
      <c r="I12" t="n">
        <v>500.1</v>
      </c>
      <c r="J12" t="n">
        <v>25.2</v>
      </c>
      <c r="K12" t="n">
        <v>25</v>
      </c>
      <c r="L12" t="n">
        <v>10008.3</v>
      </c>
    </row>
    <row r="13">
      <c r="A13" t="n">
        <v>20.94175483782263</v>
      </c>
      <c r="B13" t="n">
        <v>1657.244064196834</v>
      </c>
      <c r="C13" t="n">
        <v>0.3878776542434465</v>
      </c>
      <c r="D13" t="n">
        <v>55.1</v>
      </c>
      <c r="E13" t="n">
        <v>0</v>
      </c>
      <c r="F13" t="n">
        <v>1500</v>
      </c>
      <c r="G13" t="n">
        <v>1800</v>
      </c>
      <c r="H13" t="n">
        <v>1788</v>
      </c>
      <c r="I13" t="n">
        <v>500.1</v>
      </c>
      <c r="J13" t="n">
        <v>25.2</v>
      </c>
      <c r="K13" t="n">
        <v>25</v>
      </c>
      <c r="L13" t="n">
        <v>10005.4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2026-10-18T14:31:12Z</dcterms:created>
  <dcterms:modified xmlns:dcterms="http://purl.org/dc/terms/" xmlns:xsi="http://www.w3.org/2001/XMLSchema-instance" xsi:type="dcterms:W3CDTF">2026-10-18T08:01:38Z</dcterms:modified>
</cp:coreProperties>
</file>