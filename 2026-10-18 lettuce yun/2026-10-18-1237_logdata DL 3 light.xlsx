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H25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4.11497 200.008 352.137 581.816 845.455 1058.69 1250.8 1364.04</t>
        </is>
      </c>
      <c r="G13" t="inlineStr">
        <is>
          <t>0.208878 227.229 384.124 588.385 810.893 1001.58 1202.49 1400.6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FlrLS</t>
        </is>
      </c>
      <c r="DZ14" t="inlineStr">
        <is>
          <t>FlrLS</t>
        </is>
      </c>
      <c r="EA14" t="inlineStr">
        <is>
          <t>FlrLS</t>
        </is>
      </c>
      <c r="EB14" t="inlineStr">
        <is>
          <t>FlrLS</t>
        </is>
      </c>
      <c r="EC14" t="inlineStr">
        <is>
          <t>FlrLS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FlrStats</t>
        </is>
      </c>
      <c r="EM14" t="inlineStr">
        <is>
          <t>FlrStats</t>
        </is>
      </c>
      <c r="EN14" t="inlineStr">
        <is>
          <t>FlrStats</t>
        </is>
      </c>
      <c r="EO14" t="inlineStr">
        <is>
          <t>FlrStats</t>
        </is>
      </c>
      <c r="EP14" t="inlineStr">
        <is>
          <t>FlrStats</t>
        </is>
      </c>
      <c r="EQ14" t="inlineStr">
        <is>
          <t>MchEvent</t>
        </is>
      </c>
      <c r="ER14" t="inlineStr">
        <is>
          <t>MchEvent</t>
        </is>
      </c>
      <c r="ES14" t="inlineStr">
        <is>
          <t>MchEvent</t>
        </is>
      </c>
      <c r="ET14" t="inlineStr">
        <is>
          <t>MchEvent</t>
        </is>
      </c>
      <c r="EU14" t="inlineStr">
        <is>
          <t>MchEvent</t>
        </is>
      </c>
      <c r="EV14" t="inlineStr">
        <is>
          <t>MchEvent</t>
        </is>
      </c>
      <c r="EW14" t="inlineStr">
        <is>
          <t>MchEvent</t>
        </is>
      </c>
      <c r="EX14" t="inlineStr">
        <is>
          <t>MchEvent</t>
        </is>
      </c>
      <c r="EY14" t="inlineStr">
        <is>
          <t>MchEvent</t>
        </is>
      </c>
      <c r="EZ14" t="inlineStr">
        <is>
          <t>MchEvent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Stability</t>
        </is>
      </c>
      <c r="FE14" t="inlineStr">
        <is>
          <t>Stability</t>
        </is>
      </c>
      <c r="FF14" t="inlineStr">
        <is>
          <t>Stability</t>
        </is>
      </c>
      <c r="FG14" t="inlineStr">
        <is>
          <t>Stability</t>
        </is>
      </c>
      <c r="FH14" t="inlineStr">
        <is>
          <t>Stability</t>
        </is>
      </c>
      <c r="FI14" t="inlineStr">
        <is>
          <t>Stability</t>
        </is>
      </c>
      <c r="FJ14" t="inlineStr">
        <is>
          <t>Stability</t>
        </is>
      </c>
      <c r="FK14" t="inlineStr">
        <is>
          <t>Stability</t>
        </is>
      </c>
      <c r="FL14" t="inlineStr">
        <is>
          <t>Stability</t>
        </is>
      </c>
      <c r="FM14" t="inlineStr">
        <is>
          <t>Stability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MchStatus</t>
        </is>
      </c>
      <c r="FT14" t="inlineStr">
        <is>
          <t>MchStatus</t>
        </is>
      </c>
      <c r="FU14" t="inlineStr">
        <is>
          <t>MchStatus</t>
        </is>
      </c>
      <c r="FV14" t="inlineStr">
        <is>
          <t>MchStatus</t>
        </is>
      </c>
      <c r="FW14" t="inlineStr">
        <is>
          <t>MchStatus</t>
        </is>
      </c>
      <c r="FX14" t="inlineStr">
        <is>
          <t>MchStatus</t>
        </is>
      </c>
      <c r="FY14" t="inlineStr">
        <is>
          <t>MchStatus</t>
        </is>
      </c>
      <c r="FZ14" t="inlineStr">
        <is>
          <t>MchStatus</t>
        </is>
      </c>
      <c r="GA14" t="inlineStr">
        <is>
          <t>MchStatus</t>
        </is>
      </c>
      <c r="GB14" t="inlineStr">
        <is>
          <t>MchStatus</t>
        </is>
      </c>
      <c r="GC14" t="inlineStr">
        <is>
          <t>MchStatus</t>
        </is>
      </c>
      <c r="GD14" t="inlineStr">
        <is>
          <t>MchStatus</t>
        </is>
      </c>
      <c r="GE14" t="inlineStr">
        <is>
          <t>MchStatus</t>
        </is>
      </c>
      <c r="GF14" t="inlineStr">
        <is>
          <t>MchStatus</t>
        </is>
      </c>
      <c r="GG14" t="inlineStr">
        <is>
          <t>MchStatus</t>
        </is>
      </c>
      <c r="GH14" t="inlineStr">
        <is>
          <t>MchStatus</t>
        </is>
      </c>
      <c r="GI14" t="inlineStr">
        <is>
          <t>MchStatus</t>
        </is>
      </c>
      <c r="GJ14" t="inlineStr">
        <is>
          <t>MchStatus</t>
        </is>
      </c>
      <c r="GK14" t="inlineStr">
        <is>
          <t>ConStatus</t>
        </is>
      </c>
      <c r="GL14" t="inlineStr">
        <is>
          <t>ConStatus</t>
        </is>
      </c>
      <c r="GM14" t="inlineStr">
        <is>
          <t>ConStatus</t>
        </is>
      </c>
      <c r="GN14" t="inlineStr">
        <is>
          <t>ConStatus</t>
        </is>
      </c>
      <c r="GO14" t="inlineStr">
        <is>
          <t>ConStatus</t>
        </is>
      </c>
      <c r="GP14" t="inlineStr">
        <is>
          <t>ConStatus</t>
        </is>
      </c>
      <c r="GQ14" t="inlineStr">
        <is>
          <t>ConStatus</t>
        </is>
      </c>
      <c r="GR14" t="inlineStr">
        <is>
          <t>ConStatus</t>
        </is>
      </c>
      <c r="GS14" t="inlineStr">
        <is>
          <t>Status</t>
        </is>
      </c>
      <c r="GT14" t="inlineStr">
        <is>
          <t>Status</t>
        </is>
      </c>
      <c r="GU14" t="inlineStr">
        <is>
          <t>Status</t>
        </is>
      </c>
      <c r="GV14" t="inlineStr">
        <is>
          <t>Status</t>
        </is>
      </c>
      <c r="GW14" t="inlineStr">
        <is>
          <t>Status</t>
        </is>
      </c>
      <c r="GX14" t="inlineStr">
        <is>
          <t>Status</t>
        </is>
      </c>
      <c r="GY14" t="inlineStr">
        <is>
          <t>Status</t>
        </is>
      </c>
      <c r="GZ14" t="inlineStr">
        <is>
          <t>Status</t>
        </is>
      </c>
      <c r="HA14" t="inlineStr">
        <is>
          <t>Status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Q</t>
        </is>
      </c>
      <c r="DU15" t="inlineStr">
        <is>
          <t>f_red</t>
        </is>
      </c>
      <c r="DV15" t="inlineStr">
        <is>
          <t>f_blue</t>
        </is>
      </c>
      <c r="DW15" t="inlineStr">
        <is>
          <t>f_farred</t>
        </is>
      </c>
      <c r="DX15" t="inlineStr">
        <is>
          <t>F</t>
        </is>
      </c>
      <c r="DY15" t="inlineStr">
        <is>
          <t>Q_modavg</t>
        </is>
      </c>
      <c r="DZ15" t="inlineStr">
        <is>
          <t>F_dc</t>
        </is>
      </c>
      <c r="EA15" t="inlineStr">
        <is>
          <t>Pc</t>
        </is>
      </c>
      <c r="EB15" t="inlineStr">
        <is>
          <t>Tled</t>
        </is>
      </c>
      <c r="EC15" t="inlineStr">
        <is>
          <t>TDigital</t>
        </is>
      </c>
      <c r="ED15" t="inlineStr">
        <is>
          <t>TPreamp</t>
        </is>
      </c>
      <c r="EE15" t="inlineStr">
        <is>
          <t>TPwrSpy</t>
        </is>
      </c>
      <c r="EF15" t="inlineStr">
        <is>
          <t>TDrive</t>
        </is>
      </c>
      <c r="EG15" t="inlineStr">
        <is>
          <t>Q_red</t>
        </is>
      </c>
      <c r="EH15" t="inlineStr">
        <is>
          <t>Q_blue</t>
        </is>
      </c>
      <c r="EI15" t="inlineStr">
        <is>
          <t>Q_farred</t>
        </is>
      </c>
      <c r="EJ15" t="inlineStr">
        <is>
          <t>TSPF</t>
        </is>
      </c>
      <c r="EK15" t="inlineStr">
        <is>
          <t>state</t>
        </is>
      </c>
      <c r="EL15" t="inlineStr">
        <is>
          <t>F_avg</t>
        </is>
      </c>
      <c r="EM15" t="inlineStr">
        <is>
          <t>dF/dt</t>
        </is>
      </c>
      <c r="EN15" t="inlineStr">
        <is>
          <t>dF_dc/dt</t>
        </is>
      </c>
      <c r="EO15" t="inlineStr">
        <is>
          <t>F_dc_avg</t>
        </is>
      </c>
      <c r="EP15" t="inlineStr">
        <is>
          <t>period</t>
        </is>
      </c>
      <c r="EQ15" t="inlineStr">
        <is>
          <t>time</t>
        </is>
      </c>
      <c r="ER15" t="inlineStr">
        <is>
          <t>hhmmss</t>
        </is>
      </c>
      <c r="ES15" t="inlineStr">
        <is>
          <t>co2_t</t>
        </is>
      </c>
      <c r="ET15" t="inlineStr">
        <is>
          <t>h2o_t</t>
        </is>
      </c>
      <c r="EU15" t="inlineStr">
        <is>
          <t>count</t>
        </is>
      </c>
      <c r="EV15" t="inlineStr">
        <is>
          <t>co2_adj</t>
        </is>
      </c>
      <c r="EW15" t="inlineStr">
        <is>
          <t>h2o_adj</t>
        </is>
      </c>
      <c r="EX15" t="inlineStr">
        <is>
          <t>co2_match</t>
        </is>
      </c>
      <c r="EY15" t="inlineStr">
        <is>
          <t>h2o_match</t>
        </is>
      </c>
      <c r="EZ15" t="inlineStr">
        <is>
          <t>co2_at</t>
        </is>
      </c>
      <c r="FA15" t="inlineStr">
        <is>
          <t>h2o_at</t>
        </is>
      </c>
      <c r="FB15" t="inlineStr">
        <is>
          <t>co2_cv</t>
        </is>
      </c>
      <c r="FC15" t="inlineStr">
        <is>
          <t>h2o_cv</t>
        </is>
      </c>
      <c r="FD15" t="inlineStr">
        <is>
          <t>A:MN</t>
        </is>
      </c>
      <c r="FE15" t="inlineStr">
        <is>
          <t>A:SLP</t>
        </is>
      </c>
      <c r="FF15" t="inlineStr">
        <is>
          <t>A:SD</t>
        </is>
      </c>
      <c r="FG15" t="inlineStr">
        <is>
          <t>A:OK</t>
        </is>
      </c>
      <c r="FH15" t="inlineStr">
        <is>
          <t>ΔCO2:MN</t>
        </is>
      </c>
      <c r="FI15" t="inlineStr">
        <is>
          <t>ΔCO2:SLP</t>
        </is>
      </c>
      <c r="FJ15" t="inlineStr">
        <is>
          <t>ΔCO2:SD</t>
        </is>
      </c>
      <c r="FK15" t="inlineStr">
        <is>
          <t>ΔCO2:OK</t>
        </is>
      </c>
      <c r="FL15" t="inlineStr">
        <is>
          <t>F:MN</t>
        </is>
      </c>
      <c r="FM15" t="inlineStr">
        <is>
          <t>F:SLP</t>
        </is>
      </c>
      <c r="FN15" t="inlineStr">
        <is>
          <t>F:SD</t>
        </is>
      </c>
      <c r="FO15" t="inlineStr">
        <is>
          <t>F:OK</t>
        </is>
      </c>
      <c r="FP15" t="inlineStr">
        <is>
          <t>Stable</t>
        </is>
      </c>
      <c r="FQ15" t="inlineStr">
        <is>
          <t>Total</t>
        </is>
      </c>
      <c r="FR15" t="inlineStr">
        <is>
          <t>State</t>
        </is>
      </c>
      <c r="FS15" t="inlineStr">
        <is>
          <t>MatchValveR</t>
        </is>
      </c>
      <c r="FT15" t="inlineStr">
        <is>
          <t>MatchValveS</t>
        </is>
      </c>
      <c r="FU15" t="inlineStr">
        <is>
          <t>MatchCO2</t>
        </is>
      </c>
      <c r="FV15" t="inlineStr">
        <is>
          <t>MatchH2O</t>
        </is>
      </c>
      <c r="FW15" t="inlineStr">
        <is>
          <t>cf_co2_a</t>
        </is>
      </c>
      <c r="FX15" t="inlineStr">
        <is>
          <t>cf_co2_b</t>
        </is>
      </c>
      <c r="FY15" t="inlineStr">
        <is>
          <t>cf_co2_c</t>
        </is>
      </c>
      <c r="FZ15" t="inlineStr">
        <is>
          <t>cf_co2_d</t>
        </is>
      </c>
      <c r="GA15" t="inlineStr">
        <is>
          <t>cf_h2o_a</t>
        </is>
      </c>
      <c r="GB15" t="inlineStr">
        <is>
          <t>cf_h2o_b</t>
        </is>
      </c>
      <c r="GC15" t="inlineStr">
        <is>
          <t>cf_h2o_c</t>
        </is>
      </c>
      <c r="GD15" t="inlineStr">
        <is>
          <t>cf_h2o_d</t>
        </is>
      </c>
      <c r="GE15" t="inlineStr">
        <is>
          <t>co2_fit_low</t>
        </is>
      </c>
      <c r="GF15" t="inlineStr">
        <is>
          <t>co2_fit_high</t>
        </is>
      </c>
      <c r="GG15" t="inlineStr">
        <is>
          <t>h2o_fit_low</t>
        </is>
      </c>
      <c r="GH15" t="inlineStr">
        <is>
          <t>h2o_fit_high</t>
        </is>
      </c>
      <c r="GI15" t="inlineStr">
        <is>
          <t>co2_elapsed</t>
        </is>
      </c>
      <c r="GJ15" t="inlineStr">
        <is>
          <t>h2o_elapsed</t>
        </is>
      </c>
      <c r="GK15" t="inlineStr">
        <is>
          <t>CO2_f</t>
        </is>
      </c>
      <c r="GL15" t="inlineStr">
        <is>
          <t>CO2_f_s</t>
        </is>
      </c>
      <c r="GM15" t="inlineStr">
        <is>
          <t>Pump_f</t>
        </is>
      </c>
      <c r="GN15" t="inlineStr">
        <is>
          <t>Pump_f_s</t>
        </is>
      </c>
      <c r="GO15" t="inlineStr">
        <is>
          <t>Pump_p</t>
        </is>
      </c>
      <c r="GP15" t="inlineStr">
        <is>
          <t>Pump_p_s</t>
        </is>
      </c>
      <c r="GQ15" t="inlineStr">
        <is>
          <t>Tboard</t>
        </is>
      </c>
      <c r="GR15" t="inlineStr">
        <is>
          <t>V_system</t>
        </is>
      </c>
      <c r="GS15" t="inlineStr">
        <is>
          <t>DIAG</t>
        </is>
      </c>
      <c r="GT15" t="inlineStr">
        <is>
          <t>Flow_s</t>
        </is>
      </c>
      <c r="GU15" t="inlineStr">
        <is>
          <t>Flow_r</t>
        </is>
      </c>
      <c r="GV15" t="inlineStr">
        <is>
          <t>Txchg</t>
        </is>
      </c>
      <c r="GW15" t="inlineStr">
        <is>
          <t>Tirga</t>
        </is>
      </c>
      <c r="GX15" t="inlineStr">
        <is>
          <t>Tchopper</t>
        </is>
      </c>
      <c r="GY15" t="inlineStr">
        <is>
          <t>Ts</t>
        </is>
      </c>
      <c r="GZ15" t="inlineStr">
        <is>
          <t>Tr</t>
        </is>
      </c>
      <c r="HA15" t="inlineStr">
        <is>
          <t>CO2_%</t>
        </is>
      </c>
      <c r="HB15" t="inlineStr">
        <is>
          <t>Desiccant_%</t>
        </is>
      </c>
      <c r="HC15" t="inlineStr">
        <is>
          <t>Humidifier_%</t>
        </is>
      </c>
      <c r="HD15" t="inlineStr">
        <is>
          <t>Txchg_sp</t>
        </is>
      </c>
      <c r="HE15" t="inlineStr">
        <is>
          <t>CO2_r_sp</t>
        </is>
      </c>
      <c r="HF15" t="inlineStr">
        <is>
          <t>H2O_r_sp</t>
        </is>
      </c>
      <c r="HG15" t="inlineStr">
        <is>
          <t>SS_s</t>
        </is>
      </c>
      <c r="HH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m⁻² s⁻¹</t>
        </is>
      </c>
      <c r="DY16" t="inlineStr">
        <is>
          <t>µmol m⁻² s⁻¹</t>
        </is>
      </c>
      <c r="EB16" t="inlineStr">
        <is>
          <t>°C</t>
        </is>
      </c>
      <c r="EC16" t="inlineStr">
        <is>
          <t>°C</t>
        </is>
      </c>
      <c r="ED16" t="inlineStr">
        <is>
          <t>°C</t>
        </is>
      </c>
      <c r="EE16" t="inlineStr">
        <is>
          <t>°C</t>
        </is>
      </c>
      <c r="EF16" t="inlineStr">
        <is>
          <t>°C</t>
        </is>
      </c>
      <c r="EG16" t="inlineStr">
        <is>
          <t>µmol m⁻² s⁻¹</t>
        </is>
      </c>
      <c r="EH16" t="inlineStr">
        <is>
          <t>µmol m⁻² s⁻¹</t>
        </is>
      </c>
      <c r="EI16" t="inlineStr">
        <is>
          <t>µmol m⁻² s⁻¹</t>
        </is>
      </c>
      <c r="EJ16" t="inlineStr">
        <is>
          <t>s</t>
        </is>
      </c>
      <c r="EM16" t="inlineStr">
        <is>
          <t>min⁻¹</t>
        </is>
      </c>
      <c r="EN16" t="inlineStr">
        <is>
          <t>min⁻¹</t>
        </is>
      </c>
      <c r="EP16" t="inlineStr">
        <is>
          <t>s</t>
        </is>
      </c>
      <c r="EQ16" t="inlineStr">
        <is>
          <t>secs</t>
        </is>
      </c>
      <c r="ES16" t="inlineStr">
        <is>
          <t>s</t>
        </is>
      </c>
      <c r="ET16" t="inlineStr">
        <is>
          <t>s</t>
        </is>
      </c>
      <c r="EV16" t="inlineStr">
        <is>
          <t>µmol/mol</t>
        </is>
      </c>
      <c r="EW16" t="inlineStr">
        <is>
          <t>mmol/mol</t>
        </is>
      </c>
      <c r="EX16" t="inlineStr">
        <is>
          <t>µmol/mol</t>
        </is>
      </c>
      <c r="EY16" t="inlineStr">
        <is>
          <t>mmol/mol</t>
        </is>
      </c>
      <c r="EZ16" t="inlineStr">
        <is>
          <t>µmol/mol</t>
        </is>
      </c>
      <c r="FA16" t="inlineStr">
        <is>
          <t>mmol/mol</t>
        </is>
      </c>
      <c r="FB16" t="inlineStr">
        <is>
          <t>%</t>
        </is>
      </c>
      <c r="FC16" t="inlineStr">
        <is>
          <t>%</t>
        </is>
      </c>
      <c r="FD16" t="inlineStr">
        <is>
          <t>µmol m⁻² s⁻¹</t>
        </is>
      </c>
      <c r="FE16" t="inlineStr">
        <is>
          <t>µmol m⁻² s⁻¹ min⁻¹</t>
        </is>
      </c>
      <c r="FF16" t="inlineStr">
        <is>
          <t>µmol m⁻² s⁻¹</t>
        </is>
      </c>
      <c r="FH16" t="inlineStr">
        <is>
          <t>µmol mol⁻¹</t>
        </is>
      </c>
      <c r="FI16" t="inlineStr">
        <is>
          <t>µmol mol⁻¹ min⁻¹</t>
        </is>
      </c>
      <c r="FJ16" t="inlineStr">
        <is>
          <t>µmol mol⁻¹</t>
        </is>
      </c>
      <c r="FM16" t="inlineStr">
        <is>
          <t xml:space="preserve"> min⁻¹</t>
        </is>
      </c>
      <c r="FS16" t="inlineStr">
        <is>
          <t>%</t>
        </is>
      </c>
      <c r="FT16" t="inlineStr">
        <is>
          <t>%</t>
        </is>
      </c>
      <c r="FU16" t="inlineStr">
        <is>
          <t>µmol/mol</t>
        </is>
      </c>
      <c r="FV16" t="inlineStr">
        <is>
          <t>mmol/mol</t>
        </is>
      </c>
      <c r="FW16" t="inlineStr">
        <is>
          <t>µmol/mol</t>
        </is>
      </c>
      <c r="GA16" t="inlineStr">
        <is>
          <t>mmol/mol</t>
        </is>
      </c>
      <c r="GE16" t="inlineStr">
        <is>
          <t>µmol mol⁻¹</t>
        </is>
      </c>
      <c r="GF16" t="inlineStr">
        <is>
          <t>µmol mol⁻¹</t>
        </is>
      </c>
      <c r="GG16" t="inlineStr">
        <is>
          <t>mmol mol⁻¹</t>
        </is>
      </c>
      <c r="GH16" t="inlineStr">
        <is>
          <t>mmol mol⁻¹</t>
        </is>
      </c>
      <c r="GI16" t="inlineStr">
        <is>
          <t>min</t>
        </is>
      </c>
      <c r="GJ16" t="inlineStr">
        <is>
          <t>min</t>
        </is>
      </c>
      <c r="GK16" t="inlineStr">
        <is>
          <t>V</t>
        </is>
      </c>
      <c r="GL16" t="inlineStr">
        <is>
          <t>V</t>
        </is>
      </c>
      <c r="GM16" t="inlineStr">
        <is>
          <t>V</t>
        </is>
      </c>
      <c r="GN16" t="inlineStr">
        <is>
          <t>V</t>
        </is>
      </c>
      <c r="GO16" t="inlineStr">
        <is>
          <t>V</t>
        </is>
      </c>
      <c r="GP16" t="inlineStr">
        <is>
          <t>V</t>
        </is>
      </c>
      <c r="GQ16" t="inlineStr">
        <is>
          <t>°C</t>
        </is>
      </c>
      <c r="GR16" t="inlineStr">
        <is>
          <t>V</t>
        </is>
      </c>
      <c r="GT16" t="inlineStr">
        <is>
          <t>µmol s⁻¹</t>
        </is>
      </c>
      <c r="GU16" t="inlineStr">
        <is>
          <t>µmol s⁻¹</t>
        </is>
      </c>
      <c r="GV16" t="inlineStr">
        <is>
          <t>°C</t>
        </is>
      </c>
      <c r="GW16" t="inlineStr">
        <is>
          <t>°C</t>
        </is>
      </c>
      <c r="GX16" t="inlineStr">
        <is>
          <t>°C</t>
        </is>
      </c>
      <c r="GY16" t="inlineStr">
        <is>
          <t>°C</t>
        </is>
      </c>
      <c r="GZ16" t="inlineStr">
        <is>
          <t>°C</t>
        </is>
      </c>
      <c r="HA16" t="inlineStr">
        <is>
          <t>%</t>
        </is>
      </c>
      <c r="HB16" t="inlineStr">
        <is>
          <t>%</t>
        </is>
      </c>
      <c r="HC16" t="inlineStr">
        <is>
          <t>%</t>
        </is>
      </c>
      <c r="HD16" t="inlineStr">
        <is>
          <t>°C</t>
        </is>
      </c>
      <c r="HE16" t="inlineStr">
        <is>
          <t>µmol mol⁻¹</t>
        </is>
      </c>
      <c r="HF16" t="inlineStr">
        <is>
          <t>mmol mol⁻¹</t>
        </is>
      </c>
      <c r="HG16" t="inlineStr">
        <is>
          <t>%</t>
        </is>
      </c>
      <c r="HH16" t="inlineStr">
        <is>
          <t>%</t>
        </is>
      </c>
    </row>
    <row r="17">
      <c r="A17" t="n">
        <v>1</v>
      </c>
      <c r="B17" t="n">
        <v>1792295862</v>
      </c>
      <c r="C17" t="n">
        <v>0</v>
      </c>
      <c r="D17" t="inlineStr">
        <is>
          <t>20261018 12:57:42</t>
        </is>
      </c>
      <c r="E17" t="inlineStr">
        <is>
          <t>12:57:42</t>
        </is>
      </c>
      <c r="F17" t="n">
        <v>5</v>
      </c>
      <c r="G17" t="n">
        <v>1792295859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MPF-229-20261018-11_34_30</t>
        </is>
      </c>
      <c r="AK17" t="n">
        <v>8125.4</v>
      </c>
      <c r="AL17" t="n">
        <v>230.654807692308</v>
      </c>
      <c r="AM17" t="n">
        <v>1050.94976592848</v>
      </c>
      <c r="AN17">
        <f>1-AL17/AM17</f>
        <v/>
      </c>
      <c r="AO17" t="n">
        <v>-2.22481790193981</v>
      </c>
      <c r="AP17" t="inlineStr">
        <is>
          <t>MPF-230-20261018-12_57_46</t>
        </is>
      </c>
      <c r="AQ17" t="n">
        <v>8147.16</v>
      </c>
      <c r="AR17" t="n">
        <v>195.292730769231</v>
      </c>
      <c r="AS17" t="n">
        <v>250.214412081156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230</v>
      </c>
      <c r="BM17" t="n">
        <v>290</v>
      </c>
      <c r="BN17" t="n">
        <v>238.78</v>
      </c>
      <c r="BO17" t="n">
        <v>75</v>
      </c>
      <c r="BP17" t="n">
        <v>8147.16</v>
      </c>
      <c r="BQ17" t="n">
        <v>237.09</v>
      </c>
      <c r="BR17" t="n">
        <v>1.69</v>
      </c>
      <c r="BS17" t="n">
        <v>300</v>
      </c>
      <c r="BT17" t="n">
        <v>19.1</v>
      </c>
      <c r="BU17" t="n">
        <v>250.214412081156</v>
      </c>
      <c r="BV17" t="n">
        <v>2.52934923981772</v>
      </c>
      <c r="BW17" t="n">
        <v>-10.6905148954449</v>
      </c>
      <c r="BX17" t="n">
        <v>1.88356809743495</v>
      </c>
      <c r="BY17" t="n">
        <v>0.53498609942938</v>
      </c>
      <c r="BZ17" t="n">
        <v>-0.00438513993325918</v>
      </c>
      <c r="CA17" t="n">
        <v>290</v>
      </c>
      <c r="CB17" t="n">
        <v>236.71</v>
      </c>
      <c r="CC17" t="n">
        <v>655</v>
      </c>
      <c r="CD17" t="n">
        <v>8133.6</v>
      </c>
      <c r="CE17" t="n">
        <v>237.07</v>
      </c>
      <c r="CF17" t="n">
        <v>-0.36</v>
      </c>
      <c r="CT17">
        <f>$B$11*DR17+$C$11*DS17+$F$11*DT17*(1-DW17)</f>
        <v/>
      </c>
      <c r="CU17">
        <f>CT17*CV17</f>
        <v/>
      </c>
      <c r="CV17">
        <f>($B$11*$D$9+$C$11*$D$9+$F$11*((EG17+DY17)/MAX(EG17+DY17+EH17, 0.1)*$I$9+EH17/MAX(EG17+DY17+EH17, 0.1)*$J$9))/($B$11+$C$11+$F$11)</f>
        <v/>
      </c>
      <c r="CW17">
        <f>($B$11*$K$9+$C$11*$K$9+$F$11*((EG17+DY17)/MAX(EG17+DY17+EH17, 0.1)*$P$9+EH17/MAX(EG17+DY17+EH17,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1792295859</v>
      </c>
      <c r="DC17" t="n">
        <v>399.994</v>
      </c>
      <c r="DD17" t="n">
        <v>407.0916</v>
      </c>
      <c r="DE17" t="n">
        <v>17.05402</v>
      </c>
      <c r="DF17" t="n">
        <v>15.6622</v>
      </c>
      <c r="DG17" t="n">
        <v>400.1958</v>
      </c>
      <c r="DH17" t="n">
        <v>17.19828</v>
      </c>
      <c r="DI17" t="n">
        <v>500.0346</v>
      </c>
      <c r="DJ17" t="n">
        <v>100.9198</v>
      </c>
      <c r="DK17" t="n">
        <v>0.09996816</v>
      </c>
      <c r="DL17" t="n">
        <v>24.76642</v>
      </c>
      <c r="DM17" t="n">
        <v>24.98778</v>
      </c>
      <c r="DN17" t="n">
        <v>999.9</v>
      </c>
      <c r="DO17" t="n">
        <v>0</v>
      </c>
      <c r="DP17" t="n">
        <v>0</v>
      </c>
      <c r="DQ17" t="n">
        <v>10011.5</v>
      </c>
      <c r="DR17" t="n">
        <v>0</v>
      </c>
      <c r="DS17" t="n">
        <v>6.550226</v>
      </c>
      <c r="DT17" t="n">
        <v>1499.944</v>
      </c>
      <c r="DU17" t="n">
        <v>0.973008</v>
      </c>
      <c r="DV17" t="n">
        <v>0.02699164</v>
      </c>
      <c r="DW17" t="n">
        <v>0</v>
      </c>
      <c r="DX17" t="n">
        <v>195.4818</v>
      </c>
      <c r="DY17" t="n">
        <v>4.99999</v>
      </c>
      <c r="DZ17" t="n">
        <v>2993.196</v>
      </c>
      <c r="EA17" t="n">
        <v>14882.08</v>
      </c>
      <c r="EB17" t="n">
        <v>36.375</v>
      </c>
      <c r="EC17" t="n">
        <v>37.9622</v>
      </c>
      <c r="ED17" t="n">
        <v>36.937</v>
      </c>
      <c r="EE17" t="n">
        <v>37.437</v>
      </c>
      <c r="EF17" t="n">
        <v>38</v>
      </c>
      <c r="EG17" t="n">
        <v>1454.594</v>
      </c>
      <c r="EH17" t="n">
        <v>40.35</v>
      </c>
      <c r="EI17" t="n">
        <v>0</v>
      </c>
      <c r="EJ17" t="n">
        <v>4994.09999990463</v>
      </c>
      <c r="EK17" t="n">
        <v>0</v>
      </c>
      <c r="EL17" t="n">
        <v>195.292730769231</v>
      </c>
      <c r="EM17" t="n">
        <v>1.06984614960946</v>
      </c>
      <c r="EN17" t="n">
        <v>5.38735041334637</v>
      </c>
      <c r="EO17" t="n">
        <v>2993.00692307692</v>
      </c>
      <c r="EP17" t="n">
        <v>15</v>
      </c>
      <c r="EQ17" t="n">
        <v>1792295665</v>
      </c>
      <c r="ER17" t="inlineStr">
        <is>
          <t>12:54:25</t>
        </is>
      </c>
      <c r="ES17" t="n">
        <v>1792295656</v>
      </c>
      <c r="ET17" t="n">
        <v>1792295665</v>
      </c>
      <c r="EU17" t="n">
        <v>35</v>
      </c>
      <c r="EV17" t="n">
        <v>-0.542</v>
      </c>
      <c r="EW17" t="n">
        <v>0.006</v>
      </c>
      <c r="EX17" t="n">
        <v>-0.199</v>
      </c>
      <c r="EY17" t="n">
        <v>-0.161</v>
      </c>
      <c r="EZ17" t="n">
        <v>406</v>
      </c>
      <c r="FA17" t="n">
        <v>16</v>
      </c>
      <c r="FB17" t="n">
        <v>0.18</v>
      </c>
      <c r="FC17" t="n">
        <v>0.07000000000000001</v>
      </c>
      <c r="FD17" t="n">
        <v>16.2157341214799</v>
      </c>
      <c r="FE17" t="n">
        <v>0.609216036799677</v>
      </c>
      <c r="FF17" t="n">
        <v>0.105517611720295</v>
      </c>
      <c r="FG17" t="n">
        <v>0</v>
      </c>
      <c r="FH17" t="n">
        <v>-7.056817</v>
      </c>
      <c r="FI17" t="n">
        <v>-0.198841804511277</v>
      </c>
      <c r="FJ17" t="n">
        <v>0.0393855106733428</v>
      </c>
      <c r="FK17" t="n">
        <v>1</v>
      </c>
      <c r="FL17" t="n">
        <v>195.326470588235</v>
      </c>
      <c r="FM17" t="n">
        <v>0.0121619604158155</v>
      </c>
      <c r="FN17" t="n">
        <v>0.386782446473019</v>
      </c>
      <c r="FO17" t="n">
        <v>1</v>
      </c>
      <c r="FP17" t="n">
        <v>2</v>
      </c>
      <c r="FQ17" t="n">
        <v>3</v>
      </c>
      <c r="FR17" t="inlineStr">
        <is>
          <t>2/3</t>
        </is>
      </c>
      <c r="FS17" t="n">
        <v>100</v>
      </c>
      <c r="FT17" t="n">
        <v>100</v>
      </c>
      <c r="FU17" t="n">
        <v>-0.202</v>
      </c>
      <c r="FV17" t="n">
        <v>-0.1442</v>
      </c>
      <c r="FW17" t="n">
        <v>-0.276593718674481</v>
      </c>
      <c r="FX17" t="n">
        <v>-6.16732984266029e-05</v>
      </c>
      <c r="FY17" t="n">
        <v>6.19398071816742e-07</v>
      </c>
      <c r="FZ17" t="n">
        <v>3.19222985850634e-12</v>
      </c>
      <c r="GA17" t="n">
        <v>-0.058707128138678</v>
      </c>
      <c r="GB17" t="n">
        <v>-0.0257783215012692</v>
      </c>
      <c r="GC17" t="n">
        <v>0.00133723821780375</v>
      </c>
      <c r="GD17" t="n">
        <v>-7.42160749481374e-06</v>
      </c>
      <c r="GE17" t="n">
        <v>7</v>
      </c>
      <c r="GF17" t="n">
        <v>2154</v>
      </c>
      <c r="GG17" t="n">
        <v>2</v>
      </c>
      <c r="GH17" t="n">
        <v>20</v>
      </c>
      <c r="GI17" t="n">
        <v>3.4</v>
      </c>
      <c r="GJ17" t="n">
        <v>3.3</v>
      </c>
      <c r="GK17" t="n">
        <v>1.05225</v>
      </c>
      <c r="GL17" t="n">
        <v>2.64771</v>
      </c>
      <c r="GM17" t="n">
        <v>1.65161</v>
      </c>
      <c r="GN17" t="n">
        <v>2.27661</v>
      </c>
      <c r="GO17" t="n">
        <v>1.5979</v>
      </c>
      <c r="GP17" t="n">
        <v>2.65625</v>
      </c>
      <c r="GQ17" t="n">
        <v>37.3618</v>
      </c>
      <c r="GR17" t="n">
        <v>23.781</v>
      </c>
      <c r="GS17" t="n">
        <v>18</v>
      </c>
      <c r="GT17" t="n">
        <v>504.766</v>
      </c>
      <c r="GU17" t="n">
        <v>523.549</v>
      </c>
      <c r="GV17" t="n">
        <v>21.055</v>
      </c>
      <c r="GW17" t="n">
        <v>29.5253</v>
      </c>
      <c r="GX17" t="n">
        <v>30.0002</v>
      </c>
      <c r="GY17" t="n">
        <v>29.7066</v>
      </c>
      <c r="GZ17" t="n">
        <v>29.7672</v>
      </c>
      <c r="HA17" t="n">
        <v>21.0503</v>
      </c>
      <c r="HB17" t="n">
        <v>24.8866</v>
      </c>
      <c r="HC17" t="n">
        <v>18.1945</v>
      </c>
      <c r="HD17" t="n">
        <v>21.0631</v>
      </c>
      <c r="HE17" t="n">
        <v>407.187</v>
      </c>
      <c r="HF17" t="n">
        <v>15.651</v>
      </c>
      <c r="HG17" t="n">
        <v>98.04000000000001</v>
      </c>
      <c r="HH17" t="n">
        <v>94.5419</v>
      </c>
    </row>
    <row r="18">
      <c r="A18" t="n">
        <v>2</v>
      </c>
      <c r="B18" t="n">
        <v>1792296001</v>
      </c>
      <c r="C18" t="n">
        <v>139</v>
      </c>
      <c r="D18" t="inlineStr">
        <is>
          <t>20261018 13:00:01</t>
        </is>
      </c>
      <c r="E18" t="inlineStr">
        <is>
          <t>13:00:01</t>
        </is>
      </c>
      <c r="F18" t="n">
        <v>5</v>
      </c>
      <c r="G18" t="n">
        <v>1792295997.5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MPF-229-20261018-11_34_30</t>
        </is>
      </c>
      <c r="AK18" t="n">
        <v>8125.4</v>
      </c>
      <c r="AL18" t="n">
        <v>230.654807692308</v>
      </c>
      <c r="AM18" t="n">
        <v>1050.94976592848</v>
      </c>
      <c r="AN18">
        <f>1-AL18/AM18</f>
        <v/>
      </c>
      <c r="AO18" t="n">
        <v>-2.22481790193981</v>
      </c>
      <c r="AP18" t="inlineStr">
        <is>
          <t>MPF-231-20261018-13_00_05</t>
        </is>
      </c>
      <c r="AQ18" t="n">
        <v>8137.69</v>
      </c>
      <c r="AR18" t="n">
        <v>200.1842</v>
      </c>
      <c r="AS18" t="n">
        <v>283.636225708494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231</v>
      </c>
      <c r="BM18" t="n">
        <v>290</v>
      </c>
      <c r="BN18" t="n">
        <v>262.8</v>
      </c>
      <c r="BO18" t="n">
        <v>155</v>
      </c>
      <c r="BP18" t="n">
        <v>8137.69</v>
      </c>
      <c r="BQ18" t="n">
        <v>262.09</v>
      </c>
      <c r="BR18" t="n">
        <v>0.71</v>
      </c>
      <c r="BS18" t="n">
        <v>300</v>
      </c>
      <c r="BT18" t="n">
        <v>19.1</v>
      </c>
      <c r="BU18" t="n">
        <v>283.636225708494</v>
      </c>
      <c r="BV18" t="n">
        <v>3.24851302057161</v>
      </c>
      <c r="BW18" t="n">
        <v>-17.5317443978754</v>
      </c>
      <c r="BX18" t="n">
        <v>2.40677058190771</v>
      </c>
      <c r="BY18" t="n">
        <v>0.654583950711171</v>
      </c>
      <c r="BZ18" t="n">
        <v>-0.00458374260289211</v>
      </c>
      <c r="CA18" t="n">
        <v>290</v>
      </c>
      <c r="CB18" t="n">
        <v>261.12</v>
      </c>
      <c r="CC18" t="n">
        <v>625</v>
      </c>
      <c r="CD18" t="n">
        <v>8128.76</v>
      </c>
      <c r="CE18" t="n">
        <v>262.07</v>
      </c>
      <c r="CF18" t="n">
        <v>-0.95</v>
      </c>
      <c r="CT18">
        <f>$B$11*DR18+$C$11*DS18+$F$11*DT18*(1-DW18)</f>
        <v/>
      </c>
      <c r="CU18">
        <f>CT18*CV18</f>
        <v/>
      </c>
      <c r="CV18">
        <f>($B$11*$D$9+$C$11*$D$9+$F$11*((EG18+DY18)/MAX(EG18+DY18+EH18, 0.1)*$I$9+EH18/MAX(EG18+DY18+EH18, 0.1)*$J$9))/($B$11+$C$11+$F$11)</f>
        <v/>
      </c>
      <c r="CW18">
        <f>($B$11*$K$9+$C$11*$K$9+$F$11*((EG18+DY18)/MAX(EG18+DY18+EH18, 0.1)*$P$9+EH18/MAX(EG18+DY18+EH18,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1792295997.5</v>
      </c>
      <c r="DC18" t="n">
        <v>399.955666666667</v>
      </c>
      <c r="DD18" t="n">
        <v>407.0275</v>
      </c>
      <c r="DE18" t="n">
        <v>17.3623</v>
      </c>
      <c r="DF18" t="n">
        <v>16.0235</v>
      </c>
      <c r="DG18" t="n">
        <v>400.1575</v>
      </c>
      <c r="DH18" t="n">
        <v>17.5023666666667</v>
      </c>
      <c r="DI18" t="n">
        <v>499.989</v>
      </c>
      <c r="DJ18" t="n">
        <v>100.917666666667</v>
      </c>
      <c r="DK18" t="n">
        <v>0.0998343333333333</v>
      </c>
      <c r="DL18" t="n">
        <v>25.0536166666667</v>
      </c>
      <c r="DM18" t="n">
        <v>24.9953</v>
      </c>
      <c r="DN18" t="n">
        <v>999.9</v>
      </c>
      <c r="DO18" t="n">
        <v>0</v>
      </c>
      <c r="DP18" t="n">
        <v>0</v>
      </c>
      <c r="DQ18" t="n">
        <v>10013.7416666667</v>
      </c>
      <c r="DR18" t="n">
        <v>0</v>
      </c>
      <c r="DS18" t="n">
        <v>7.17137</v>
      </c>
      <c r="DT18" t="n">
        <v>1199.995</v>
      </c>
      <c r="DU18" t="n">
        <v>0.96699</v>
      </c>
      <c r="DV18" t="n">
        <v>0.0330102666666667</v>
      </c>
      <c r="DW18" t="n">
        <v>0</v>
      </c>
      <c r="DX18" t="n">
        <v>200.0975</v>
      </c>
      <c r="DY18" t="n">
        <v>4.99999</v>
      </c>
      <c r="DZ18" t="n">
        <v>2461.46166666667</v>
      </c>
      <c r="EA18" t="n">
        <v>11872.5833333333</v>
      </c>
      <c r="EB18" t="n">
        <v>37.4163333333333</v>
      </c>
      <c r="EC18" t="n">
        <v>40.0101666666667</v>
      </c>
      <c r="ED18" t="n">
        <v>38.281</v>
      </c>
      <c r="EE18" t="n">
        <v>40.0935</v>
      </c>
      <c r="EF18" t="n">
        <v>39.6143333333333</v>
      </c>
      <c r="EG18" t="n">
        <v>1155.545</v>
      </c>
      <c r="EH18" t="n">
        <v>39.45</v>
      </c>
      <c r="EI18" t="n">
        <v>0</v>
      </c>
      <c r="EJ18" t="n">
        <v>137.899999856949</v>
      </c>
      <c r="EK18" t="n">
        <v>0</v>
      </c>
      <c r="EL18" t="n">
        <v>200.1842</v>
      </c>
      <c r="EM18" t="n">
        <v>0.46146155152991</v>
      </c>
      <c r="EN18" t="n">
        <v>19.0230769544469</v>
      </c>
      <c r="EO18" t="n">
        <v>2460.0824</v>
      </c>
      <c r="EP18" t="n">
        <v>15</v>
      </c>
      <c r="EQ18" t="n">
        <v>1792295665</v>
      </c>
      <c r="ER18" t="inlineStr">
        <is>
          <t>12:54:25</t>
        </is>
      </c>
      <c r="ES18" t="n">
        <v>1792295656</v>
      </c>
      <c r="ET18" t="n">
        <v>1792295665</v>
      </c>
      <c r="EU18" t="n">
        <v>35</v>
      </c>
      <c r="EV18" t="n">
        <v>-0.542</v>
      </c>
      <c r="EW18" t="n">
        <v>0.006</v>
      </c>
      <c r="EX18" t="n">
        <v>-0.199</v>
      </c>
      <c r="EY18" t="n">
        <v>-0.161</v>
      </c>
      <c r="EZ18" t="n">
        <v>406</v>
      </c>
      <c r="FA18" t="n">
        <v>16</v>
      </c>
      <c r="FB18" t="n">
        <v>0.18</v>
      </c>
      <c r="FC18" t="n">
        <v>0.07000000000000001</v>
      </c>
      <c r="FD18" t="n">
        <v>16.1362113481528</v>
      </c>
      <c r="FE18" t="n">
        <v>0.593903661613463</v>
      </c>
      <c r="FF18" t="n">
        <v>0.155011044492142</v>
      </c>
      <c r="FG18" t="n">
        <v>1</v>
      </c>
      <c r="FH18" t="n">
        <v>-6.9933975</v>
      </c>
      <c r="FI18" t="n">
        <v>-0.371877744360904</v>
      </c>
      <c r="FJ18" t="n">
        <v>0.06814388988566759</v>
      </c>
      <c r="FK18" t="n">
        <v>1</v>
      </c>
      <c r="FL18" t="n">
        <v>200.133117647059</v>
      </c>
      <c r="FM18" t="n">
        <v>0.8078227727476061</v>
      </c>
      <c r="FN18" t="n">
        <v>0.375269453366191</v>
      </c>
      <c r="FO18" t="n">
        <v>1</v>
      </c>
      <c r="FP18" t="n">
        <v>3</v>
      </c>
      <c r="FQ18" t="n">
        <v>3</v>
      </c>
      <c r="FR18" t="inlineStr">
        <is>
          <t>3/3</t>
        </is>
      </c>
      <c r="FS18" t="n">
        <v>100</v>
      </c>
      <c r="FT18" t="n">
        <v>100</v>
      </c>
      <c r="FU18" t="n">
        <v>-0.202</v>
      </c>
      <c r="FV18" t="n">
        <v>-0.1399</v>
      </c>
      <c r="FW18" t="n">
        <v>-0.276593718674481</v>
      </c>
      <c r="FX18" t="n">
        <v>-6.16732984266029e-05</v>
      </c>
      <c r="FY18" t="n">
        <v>6.19398071816742e-07</v>
      </c>
      <c r="FZ18" t="n">
        <v>3.19222985850634e-12</v>
      </c>
      <c r="GA18" t="n">
        <v>-0.058707128138678</v>
      </c>
      <c r="GB18" t="n">
        <v>-0.0257783215012692</v>
      </c>
      <c r="GC18" t="n">
        <v>0.00133723821780375</v>
      </c>
      <c r="GD18" t="n">
        <v>-7.42160749481374e-06</v>
      </c>
      <c r="GE18" t="n">
        <v>7</v>
      </c>
      <c r="GF18" t="n">
        <v>2154</v>
      </c>
      <c r="GG18" t="n">
        <v>2</v>
      </c>
      <c r="GH18" t="n">
        <v>20</v>
      </c>
      <c r="GI18" t="n">
        <v>5.8</v>
      </c>
      <c r="GJ18" t="n">
        <v>5.6</v>
      </c>
      <c r="GK18" t="n">
        <v>1.05225</v>
      </c>
      <c r="GL18" t="n">
        <v>2.65137</v>
      </c>
      <c r="GM18" t="n">
        <v>1.65161</v>
      </c>
      <c r="GN18" t="n">
        <v>2.27661</v>
      </c>
      <c r="GO18" t="n">
        <v>1.5979</v>
      </c>
      <c r="GP18" t="n">
        <v>2.63794</v>
      </c>
      <c r="GQ18" t="n">
        <v>37.4338</v>
      </c>
      <c r="GR18" t="n">
        <v>23.7986</v>
      </c>
      <c r="GS18" t="n">
        <v>18</v>
      </c>
      <c r="GT18" t="n">
        <v>504.7</v>
      </c>
      <c r="GU18" t="n">
        <v>523.741</v>
      </c>
      <c r="GV18" t="n">
        <v>22.0155</v>
      </c>
      <c r="GW18" t="n">
        <v>29.5349</v>
      </c>
      <c r="GX18" t="n">
        <v>29.9997</v>
      </c>
      <c r="GY18" t="n">
        <v>29.7193</v>
      </c>
      <c r="GZ18" t="n">
        <v>29.7799</v>
      </c>
      <c r="HA18" t="n">
        <v>21.052</v>
      </c>
      <c r="HB18" t="n">
        <v>22.8861</v>
      </c>
      <c r="HC18" t="n">
        <v>17.8236</v>
      </c>
      <c r="HD18" t="n">
        <v>22.0289</v>
      </c>
      <c r="HE18" t="n">
        <v>406.966</v>
      </c>
      <c r="HF18" t="n">
        <v>16.0099</v>
      </c>
      <c r="HG18" t="n">
        <v>98.0391</v>
      </c>
      <c r="HH18" t="n">
        <v>94.5355</v>
      </c>
    </row>
    <row r="19">
      <c r="A19" t="n">
        <v>3</v>
      </c>
      <c r="B19" t="n">
        <v>1792296161</v>
      </c>
      <c r="C19" t="n">
        <v>299</v>
      </c>
      <c r="D19" t="inlineStr">
        <is>
          <t>20261018 13:02:41</t>
        </is>
      </c>
      <c r="E19" t="inlineStr">
        <is>
          <t>13:02:41</t>
        </is>
      </c>
      <c r="F19" t="n">
        <v>5</v>
      </c>
      <c r="G19" t="n">
        <v>1792296158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MPF-229-20261018-11_34_30</t>
        </is>
      </c>
      <c r="AK19" t="n">
        <v>8125.4</v>
      </c>
      <c r="AL19" t="n">
        <v>230.654807692308</v>
      </c>
      <c r="AM19" t="n">
        <v>1050.94976592848</v>
      </c>
      <c r="AN19">
        <f>1-AL19/AM19</f>
        <v/>
      </c>
      <c r="AO19" t="n">
        <v>-2.22481790193981</v>
      </c>
      <c r="AP19" t="inlineStr">
        <is>
          <t>MPF-232-20261018-13_02_45</t>
        </is>
      </c>
      <c r="AQ19" t="n">
        <v>8137.24</v>
      </c>
      <c r="AR19" t="n">
        <v>211.99172</v>
      </c>
      <c r="AS19" t="n">
        <v>345.089670520163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232</v>
      </c>
      <c r="BM19" t="n">
        <v>290</v>
      </c>
      <c r="BN19" t="n">
        <v>315.69</v>
      </c>
      <c r="BO19" t="n">
        <v>245</v>
      </c>
      <c r="BP19" t="n">
        <v>8137.24</v>
      </c>
      <c r="BQ19" t="n">
        <v>315.01</v>
      </c>
      <c r="BR19" t="n">
        <v>0.68</v>
      </c>
      <c r="BS19" t="n">
        <v>300</v>
      </c>
      <c r="BT19" t="n">
        <v>19.1</v>
      </c>
      <c r="BU19" t="n">
        <v>345.089670520163</v>
      </c>
      <c r="BV19" t="n">
        <v>2.5824868262645</v>
      </c>
      <c r="BW19" t="n">
        <v>-24.4783284181433</v>
      </c>
      <c r="BX19" t="n">
        <v>1.90557741077885</v>
      </c>
      <c r="BY19" t="n">
        <v>0.854929813067685</v>
      </c>
      <c r="BZ19" t="n">
        <v>-0.00478482358175751</v>
      </c>
      <c r="CA19" t="n">
        <v>290</v>
      </c>
      <c r="CB19" t="n">
        <v>312.12</v>
      </c>
      <c r="CC19" t="n">
        <v>615</v>
      </c>
      <c r="CD19" t="n">
        <v>8132.2</v>
      </c>
      <c r="CE19" t="n">
        <v>314.99</v>
      </c>
      <c r="CF19" t="n">
        <v>-2.87</v>
      </c>
      <c r="CT19">
        <f>$B$11*DR19+$C$11*DS19+$F$11*DT19*(1-DW19)</f>
        <v/>
      </c>
      <c r="CU19">
        <f>CT19*CV19</f>
        <v/>
      </c>
      <c r="CV19">
        <f>($B$11*$D$9+$C$11*$D$9+$F$11*((EG19+DY19)/MAX(EG19+DY19+EH19, 0.1)*$I$9+EH19/MAX(EG19+DY19+EH19, 0.1)*$J$9))/($B$11+$C$11+$F$11)</f>
        <v/>
      </c>
      <c r="CW19">
        <f>($B$11*$K$9+$C$11*$K$9+$F$11*((EG19+DY19)/MAX(EG19+DY19+EH19, 0.1)*$P$9+EH19/MAX(EG19+DY19+EH19,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1792296158</v>
      </c>
      <c r="DC19" t="n">
        <v>399.9918</v>
      </c>
      <c r="DD19" t="n">
        <v>406.7122</v>
      </c>
      <c r="DE19" t="n">
        <v>17.71884</v>
      </c>
      <c r="DF19" t="n">
        <v>16.37964</v>
      </c>
      <c r="DG19" t="n">
        <v>400.1938</v>
      </c>
      <c r="DH19" t="n">
        <v>17.8538</v>
      </c>
      <c r="DI19" t="n">
        <v>500.0524</v>
      </c>
      <c r="DJ19" t="n">
        <v>100.916</v>
      </c>
      <c r="DK19" t="n">
        <v>0.09998838</v>
      </c>
      <c r="DL19" t="n">
        <v>25.4112</v>
      </c>
      <c r="DM19" t="n">
        <v>25.04024</v>
      </c>
      <c r="DN19" t="n">
        <v>999.9</v>
      </c>
      <c r="DO19" t="n">
        <v>0</v>
      </c>
      <c r="DP19" t="n">
        <v>0</v>
      </c>
      <c r="DQ19" t="n">
        <v>10004.77</v>
      </c>
      <c r="DR19" t="n">
        <v>0</v>
      </c>
      <c r="DS19" t="n">
        <v>7.223032</v>
      </c>
      <c r="DT19" t="n">
        <v>899.958</v>
      </c>
      <c r="DU19" t="n">
        <v>0.955985</v>
      </c>
      <c r="DV19" t="n">
        <v>0.044015</v>
      </c>
      <c r="DW19" t="n">
        <v>0</v>
      </c>
      <c r="DX19" t="n">
        <v>212.0714</v>
      </c>
      <c r="DY19" t="n">
        <v>4.99999</v>
      </c>
      <c r="DZ19" t="n">
        <v>1948.748</v>
      </c>
      <c r="EA19" t="n">
        <v>8859.42</v>
      </c>
      <c r="EB19" t="n">
        <v>37.5872</v>
      </c>
      <c r="EC19" t="n">
        <v>39.687</v>
      </c>
      <c r="ED19" t="n">
        <v>38.6374</v>
      </c>
      <c r="EE19" t="n">
        <v>39.4748</v>
      </c>
      <c r="EF19" t="n">
        <v>39.4874</v>
      </c>
      <c r="EG19" t="n">
        <v>855.566</v>
      </c>
      <c r="EH19" t="n">
        <v>39.39</v>
      </c>
      <c r="EI19" t="n">
        <v>0</v>
      </c>
      <c r="EJ19" t="n">
        <v>158.900000095367</v>
      </c>
      <c r="EK19" t="n">
        <v>0</v>
      </c>
      <c r="EL19" t="n">
        <v>211.99172</v>
      </c>
      <c r="EM19" t="n">
        <v>-0.475461511888391</v>
      </c>
      <c r="EN19" t="n">
        <v>6.98076920019269</v>
      </c>
      <c r="EO19" t="n">
        <v>1948.2264</v>
      </c>
      <c r="EP19" t="n">
        <v>15</v>
      </c>
      <c r="EQ19" t="n">
        <v>1792295665</v>
      </c>
      <c r="ER19" t="inlineStr">
        <is>
          <t>12:54:25</t>
        </is>
      </c>
      <c r="ES19" t="n">
        <v>1792295656</v>
      </c>
      <c r="ET19" t="n">
        <v>1792295665</v>
      </c>
      <c r="EU19" t="n">
        <v>35</v>
      </c>
      <c r="EV19" t="n">
        <v>-0.542</v>
      </c>
      <c r="EW19" t="n">
        <v>0.006</v>
      </c>
      <c r="EX19" t="n">
        <v>-0.199</v>
      </c>
      <c r="EY19" t="n">
        <v>-0.161</v>
      </c>
      <c r="EZ19" t="n">
        <v>406</v>
      </c>
      <c r="FA19" t="n">
        <v>16</v>
      </c>
      <c r="FB19" t="n">
        <v>0.18</v>
      </c>
      <c r="FC19" t="n">
        <v>0.07000000000000001</v>
      </c>
      <c r="FD19" t="n">
        <v>15.4610694883075</v>
      </c>
      <c r="FE19" t="n">
        <v>-0.0292973229431273</v>
      </c>
      <c r="FF19" t="n">
        <v>0.118322530688073</v>
      </c>
      <c r="FG19" t="n">
        <v>1</v>
      </c>
      <c r="FH19" t="n">
        <v>-6.730141</v>
      </c>
      <c r="FI19" t="n">
        <v>0.0377918796992504</v>
      </c>
      <c r="FJ19" t="n">
        <v>0.0482494641317393</v>
      </c>
      <c r="FK19" t="n">
        <v>1</v>
      </c>
      <c r="FL19" t="n">
        <v>211.974852941176</v>
      </c>
      <c r="FM19" t="n">
        <v>0.575080222275795</v>
      </c>
      <c r="FN19" t="n">
        <v>0.316016393129604</v>
      </c>
      <c r="FO19" t="n">
        <v>1</v>
      </c>
      <c r="FP19" t="n">
        <v>3</v>
      </c>
      <c r="FQ19" t="n">
        <v>3</v>
      </c>
      <c r="FR19" t="inlineStr">
        <is>
          <t>3/3</t>
        </is>
      </c>
      <c r="FS19" t="n">
        <v>100</v>
      </c>
      <c r="FT19" t="n">
        <v>100</v>
      </c>
      <c r="FU19" t="n">
        <v>-0.202</v>
      </c>
      <c r="FV19" t="n">
        <v>-0.1349</v>
      </c>
      <c r="FW19" t="n">
        <v>-0.276593718674481</v>
      </c>
      <c r="FX19" t="n">
        <v>-6.16732984266029e-05</v>
      </c>
      <c r="FY19" t="n">
        <v>6.19398071816742e-07</v>
      </c>
      <c r="FZ19" t="n">
        <v>3.19222985850634e-12</v>
      </c>
      <c r="GA19" t="n">
        <v>-0.058707128138678</v>
      </c>
      <c r="GB19" t="n">
        <v>-0.0257783215012692</v>
      </c>
      <c r="GC19" t="n">
        <v>0.00133723821780375</v>
      </c>
      <c r="GD19" t="n">
        <v>-7.42160749481374e-06</v>
      </c>
      <c r="GE19" t="n">
        <v>7</v>
      </c>
      <c r="GF19" t="n">
        <v>2154</v>
      </c>
      <c r="GG19" t="n">
        <v>2</v>
      </c>
      <c r="GH19" t="n">
        <v>20</v>
      </c>
      <c r="GI19" t="n">
        <v>8.4</v>
      </c>
      <c r="GJ19" t="n">
        <v>8.300000000000001</v>
      </c>
      <c r="GK19" t="n">
        <v>1.05225</v>
      </c>
      <c r="GL19" t="n">
        <v>2.64526</v>
      </c>
      <c r="GM19" t="n">
        <v>1.65161</v>
      </c>
      <c r="GN19" t="n">
        <v>2.27417</v>
      </c>
      <c r="GO19" t="n">
        <v>1.5979</v>
      </c>
      <c r="GP19" t="n">
        <v>2.62695</v>
      </c>
      <c r="GQ19" t="n">
        <v>37.5059</v>
      </c>
      <c r="GR19" t="n">
        <v>23.7898</v>
      </c>
      <c r="GS19" t="n">
        <v>18</v>
      </c>
      <c r="GT19" t="n">
        <v>504.588</v>
      </c>
      <c r="GU19" t="n">
        <v>523.972</v>
      </c>
      <c r="GV19" t="n">
        <v>22.3322</v>
      </c>
      <c r="GW19" t="n">
        <v>29.5521</v>
      </c>
      <c r="GX19" t="n">
        <v>30</v>
      </c>
      <c r="GY19" t="n">
        <v>29.732</v>
      </c>
      <c r="GZ19" t="n">
        <v>29.7931</v>
      </c>
      <c r="HA19" t="n">
        <v>21.0549</v>
      </c>
      <c r="HB19" t="n">
        <v>21.4361</v>
      </c>
      <c r="HC19" t="n">
        <v>17.8236</v>
      </c>
      <c r="HD19" t="n">
        <v>22.2913</v>
      </c>
      <c r="HE19" t="n">
        <v>406.821</v>
      </c>
      <c r="HF19" t="n">
        <v>16.3424</v>
      </c>
      <c r="HG19" t="n">
        <v>98.03449999999999</v>
      </c>
      <c r="HH19" t="n">
        <v>94.53400000000001</v>
      </c>
    </row>
    <row r="20">
      <c r="A20" t="n">
        <v>4</v>
      </c>
      <c r="B20" t="n">
        <v>1792296344</v>
      </c>
      <c r="C20" t="n">
        <v>482</v>
      </c>
      <c r="D20" t="inlineStr">
        <is>
          <t>20261018 13:05:44</t>
        </is>
      </c>
      <c r="E20" t="inlineStr">
        <is>
          <t>13:05:44</t>
        </is>
      </c>
      <c r="F20" t="n">
        <v>5</v>
      </c>
      <c r="G20" t="n">
        <v>1792296340.5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MPF-229-20261018-11_34_30</t>
        </is>
      </c>
      <c r="AK20" t="n">
        <v>8125.4</v>
      </c>
      <c r="AL20" t="n">
        <v>230.654807692308</v>
      </c>
      <c r="AM20" t="n">
        <v>1050.94976592848</v>
      </c>
      <c r="AN20">
        <f>1-AL20/AM20</f>
        <v/>
      </c>
      <c r="AO20" t="n">
        <v>-2.22481790193981</v>
      </c>
      <c r="AP20" t="inlineStr">
        <is>
          <t>MPF-233-20261018-13_05_48</t>
        </is>
      </c>
      <c r="AQ20" t="n">
        <v>8150.93</v>
      </c>
      <c r="AR20" t="n">
        <v>230.906384615385</v>
      </c>
      <c r="AS20" t="n">
        <v>462.800090199202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233</v>
      </c>
      <c r="BM20" t="n">
        <v>290</v>
      </c>
      <c r="BN20" t="n">
        <v>423.24</v>
      </c>
      <c r="BO20" t="n">
        <v>105</v>
      </c>
      <c r="BP20" t="n">
        <v>8150.93</v>
      </c>
      <c r="BQ20" t="n">
        <v>422.35</v>
      </c>
      <c r="BR20" t="n">
        <v>0.89</v>
      </c>
      <c r="BS20" t="n">
        <v>300</v>
      </c>
      <c r="BT20" t="n">
        <v>19.1</v>
      </c>
      <c r="BU20" t="n">
        <v>462.800090199202</v>
      </c>
      <c r="BV20" t="n">
        <v>2.95249281469521</v>
      </c>
      <c r="BW20" t="n">
        <v>-32.9743188256383</v>
      </c>
      <c r="BX20" t="n">
        <v>2.17059247551071</v>
      </c>
      <c r="BY20" t="n">
        <v>0.891799298039991</v>
      </c>
      <c r="BZ20" t="n">
        <v>-0.00498954416017798</v>
      </c>
      <c r="CA20" t="n">
        <v>290</v>
      </c>
      <c r="CB20" t="n">
        <v>417.02</v>
      </c>
      <c r="CC20" t="n">
        <v>625</v>
      </c>
      <c r="CD20" t="n">
        <v>8138.95</v>
      </c>
      <c r="CE20" t="n">
        <v>422.29</v>
      </c>
      <c r="CF20" t="n">
        <v>-5.27</v>
      </c>
      <c r="CT20">
        <f>$B$11*DR20+$C$11*DS20+$F$11*DT20*(1-DW20)</f>
        <v/>
      </c>
      <c r="CU20">
        <f>CT20*CV20</f>
        <v/>
      </c>
      <c r="CV20">
        <f>($B$11*$D$9+$C$11*$D$9+$F$11*((EG20+DY20)/MAX(EG20+DY20+EH20, 0.1)*$I$9+EH20/MAX(EG20+DY20+EH20, 0.1)*$J$9))/($B$11+$C$11+$F$11)</f>
        <v/>
      </c>
      <c r="CW20">
        <f>($B$11*$K$9+$C$11*$K$9+$F$11*((EG20+DY20)/MAX(EG20+DY20+EH20, 0.1)*$P$9+EH20/MAX(EG20+DY20+EH20,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1792296340.5</v>
      </c>
      <c r="DC20" t="n">
        <v>400.015333333333</v>
      </c>
      <c r="DD20" t="n">
        <v>406.137666666667</v>
      </c>
      <c r="DE20" t="n">
        <v>17.9591333333333</v>
      </c>
      <c r="DF20" t="n">
        <v>16.6658333333333</v>
      </c>
      <c r="DG20" t="n">
        <v>400.217166666667</v>
      </c>
      <c r="DH20" t="n">
        <v>18.0904833333333</v>
      </c>
      <c r="DI20" t="n">
        <v>499.982833333333</v>
      </c>
      <c r="DJ20" t="n">
        <v>100.902166666667</v>
      </c>
      <c r="DK20" t="n">
        <v>0.09979155000000001</v>
      </c>
      <c r="DL20" t="n">
        <v>25.5694666666667</v>
      </c>
      <c r="DM20" t="n">
        <v>25.0097</v>
      </c>
      <c r="DN20" t="n">
        <v>999.9</v>
      </c>
      <c r="DO20" t="n">
        <v>0</v>
      </c>
      <c r="DP20" t="n">
        <v>0</v>
      </c>
      <c r="DQ20" t="n">
        <v>10009.1416666667</v>
      </c>
      <c r="DR20" t="n">
        <v>0</v>
      </c>
      <c r="DS20" t="n">
        <v>7.2843</v>
      </c>
      <c r="DT20" t="n">
        <v>599.996166666667</v>
      </c>
      <c r="DU20" t="n">
        <v>0.9330035</v>
      </c>
      <c r="DV20" t="n">
        <v>0.0669964</v>
      </c>
      <c r="DW20" t="n">
        <v>0</v>
      </c>
      <c r="DX20" t="n">
        <v>230.898666666667</v>
      </c>
      <c r="DY20" t="n">
        <v>4.99999</v>
      </c>
      <c r="DZ20" t="n">
        <v>1390.645</v>
      </c>
      <c r="EA20" t="n">
        <v>5845.29833333333</v>
      </c>
      <c r="EB20" t="n">
        <v>36.0725</v>
      </c>
      <c r="EC20" t="n">
        <v>38.5935</v>
      </c>
      <c r="ED20" t="n">
        <v>37.375</v>
      </c>
      <c r="EE20" t="n">
        <v>38.125</v>
      </c>
      <c r="EF20" t="n">
        <v>38.1766666666667</v>
      </c>
      <c r="EG20" t="n">
        <v>555.135</v>
      </c>
      <c r="EH20" t="n">
        <v>39.865</v>
      </c>
      <c r="EI20" t="n">
        <v>0</v>
      </c>
      <c r="EJ20" t="n">
        <v>181.700000047684</v>
      </c>
      <c r="EK20" t="n">
        <v>0</v>
      </c>
      <c r="EL20" t="n">
        <v>230.906384615385</v>
      </c>
      <c r="EM20" t="n">
        <v>0.695453025861866</v>
      </c>
      <c r="EN20" t="n">
        <v>13.6075213654749</v>
      </c>
      <c r="EO20" t="n">
        <v>1389.65230769231</v>
      </c>
      <c r="EP20" t="n">
        <v>15</v>
      </c>
      <c r="EQ20" t="n">
        <v>1792295665</v>
      </c>
      <c r="ER20" t="inlineStr">
        <is>
          <t>12:54:25</t>
        </is>
      </c>
      <c r="ES20" t="n">
        <v>1792295656</v>
      </c>
      <c r="ET20" t="n">
        <v>1792295665</v>
      </c>
      <c r="EU20" t="n">
        <v>35</v>
      </c>
      <c r="EV20" t="n">
        <v>-0.542</v>
      </c>
      <c r="EW20" t="n">
        <v>0.006</v>
      </c>
      <c r="EX20" t="n">
        <v>-0.199</v>
      </c>
      <c r="EY20" t="n">
        <v>-0.161</v>
      </c>
      <c r="EZ20" t="n">
        <v>406</v>
      </c>
      <c r="FA20" t="n">
        <v>16</v>
      </c>
      <c r="FB20" t="n">
        <v>0.18</v>
      </c>
      <c r="FC20" t="n">
        <v>0.07000000000000001</v>
      </c>
      <c r="FD20" t="n">
        <v>14.0331052216735</v>
      </c>
      <c r="FE20" t="n">
        <v>0.5197388514658</v>
      </c>
      <c r="FF20" t="n">
        <v>0.108913447974002</v>
      </c>
      <c r="FG20" t="n">
        <v>1</v>
      </c>
      <c r="FH20" t="n">
        <v>-6.13827333333333</v>
      </c>
      <c r="FI20" t="n">
        <v>-0.154400259740264</v>
      </c>
      <c r="FJ20" t="n">
        <v>0.0425269667201024</v>
      </c>
      <c r="FK20" t="n">
        <v>1</v>
      </c>
      <c r="FL20" t="n">
        <v>230.761529411765</v>
      </c>
      <c r="FM20" t="n">
        <v>2.64999237032155</v>
      </c>
      <c r="FN20" t="n">
        <v>0.372134560996276</v>
      </c>
      <c r="FO20" t="n">
        <v>0</v>
      </c>
      <c r="FP20" t="n">
        <v>2</v>
      </c>
      <c r="FQ20" t="n">
        <v>3</v>
      </c>
      <c r="FR20" t="inlineStr">
        <is>
          <t>2/3</t>
        </is>
      </c>
      <c r="FS20" t="n">
        <v>100</v>
      </c>
      <c r="FT20" t="n">
        <v>100</v>
      </c>
      <c r="FU20" t="n">
        <v>-0.202</v>
      </c>
      <c r="FV20" t="n">
        <v>-0.1313</v>
      </c>
      <c r="FW20" t="n">
        <v>-0.276593718674481</v>
      </c>
      <c r="FX20" t="n">
        <v>-6.16732984266029e-05</v>
      </c>
      <c r="FY20" t="n">
        <v>6.19398071816742e-07</v>
      </c>
      <c r="FZ20" t="n">
        <v>3.19222985850634e-12</v>
      </c>
      <c r="GA20" t="n">
        <v>-0.058707128138678</v>
      </c>
      <c r="GB20" t="n">
        <v>-0.0257783215012692</v>
      </c>
      <c r="GC20" t="n">
        <v>0.00133723821780375</v>
      </c>
      <c r="GD20" t="n">
        <v>-7.42160749481374e-06</v>
      </c>
      <c r="GE20" t="n">
        <v>7</v>
      </c>
      <c r="GF20" t="n">
        <v>2154</v>
      </c>
      <c r="GG20" t="n">
        <v>2</v>
      </c>
      <c r="GH20" t="n">
        <v>20</v>
      </c>
      <c r="GI20" t="n">
        <v>11.5</v>
      </c>
      <c r="GJ20" t="n">
        <v>11.3</v>
      </c>
      <c r="GK20" t="n">
        <v>1.05103</v>
      </c>
      <c r="GL20" t="n">
        <v>2.65015</v>
      </c>
      <c r="GM20" t="n">
        <v>1.65161</v>
      </c>
      <c r="GN20" t="n">
        <v>2.27539</v>
      </c>
      <c r="GO20" t="n">
        <v>1.5979</v>
      </c>
      <c r="GP20" t="n">
        <v>2.59277</v>
      </c>
      <c r="GQ20" t="n">
        <v>37.554</v>
      </c>
      <c r="GR20" t="n">
        <v>23.7986</v>
      </c>
      <c r="GS20" t="n">
        <v>18</v>
      </c>
      <c r="GT20" t="n">
        <v>504.709</v>
      </c>
      <c r="GU20" t="n">
        <v>523.485</v>
      </c>
      <c r="GV20" t="n">
        <v>23.0365</v>
      </c>
      <c r="GW20" t="n">
        <v>29.5826</v>
      </c>
      <c r="GX20" t="n">
        <v>30.0002</v>
      </c>
      <c r="GY20" t="n">
        <v>29.7549</v>
      </c>
      <c r="GZ20" t="n">
        <v>29.8148</v>
      </c>
      <c r="HA20" t="n">
        <v>21.0376</v>
      </c>
      <c r="HB20" t="n">
        <v>20.4795</v>
      </c>
      <c r="HC20" t="n">
        <v>18.1941</v>
      </c>
      <c r="HD20" t="n">
        <v>23.0306</v>
      </c>
      <c r="HE20" t="n">
        <v>406.169</v>
      </c>
      <c r="HF20" t="n">
        <v>16.6098</v>
      </c>
      <c r="HG20" t="n">
        <v>98.02849999999999</v>
      </c>
      <c r="HH20" t="n">
        <v>94.5219</v>
      </c>
    </row>
    <row r="21">
      <c r="A21" t="n">
        <v>5</v>
      </c>
      <c r="B21" t="n">
        <v>1792296467</v>
      </c>
      <c r="C21" t="n">
        <v>605</v>
      </c>
      <c r="D21" t="inlineStr">
        <is>
          <t>20261018 13:07:47</t>
        </is>
      </c>
      <c r="E21" t="inlineStr">
        <is>
          <t>13:07:47</t>
        </is>
      </c>
      <c r="F21" t="n">
        <v>5</v>
      </c>
      <c r="G21" t="n">
        <v>1792296464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MPF-229-20261018-11_34_30</t>
        </is>
      </c>
      <c r="AK21" t="n">
        <v>8125.4</v>
      </c>
      <c r="AL21" t="n">
        <v>230.654807692308</v>
      </c>
      <c r="AM21" t="n">
        <v>1050.94976592848</v>
      </c>
      <c r="AN21">
        <f>1-AL21/AM21</f>
        <v/>
      </c>
      <c r="AO21" t="n">
        <v>-2.22481790193981</v>
      </c>
      <c r="AP21" t="inlineStr">
        <is>
          <t>MPF-234-20261018-13_07_51</t>
        </is>
      </c>
      <c r="AQ21" t="n">
        <v>8152.01</v>
      </c>
      <c r="AR21" t="n">
        <v>231.095961538461</v>
      </c>
      <c r="AS21" t="n">
        <v>551.273594067881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234</v>
      </c>
      <c r="BM21" t="n">
        <v>290</v>
      </c>
      <c r="BN21" t="n">
        <v>510.8</v>
      </c>
      <c r="BO21" t="n">
        <v>145</v>
      </c>
      <c r="BP21" t="n">
        <v>8152.01</v>
      </c>
      <c r="BQ21" t="n">
        <v>509.39</v>
      </c>
      <c r="BR21" t="n">
        <v>1.41</v>
      </c>
      <c r="BS21" t="n">
        <v>300</v>
      </c>
      <c r="BT21" t="n">
        <v>19.1</v>
      </c>
      <c r="BU21" t="n">
        <v>551.273594067881</v>
      </c>
      <c r="BV21" t="n">
        <v>3.25411363627127</v>
      </c>
      <c r="BW21" t="n">
        <v>-34.1431152057576</v>
      </c>
      <c r="BX21" t="n">
        <v>2.38608674293588</v>
      </c>
      <c r="BY21" t="n">
        <v>0.879701665608507</v>
      </c>
      <c r="BZ21" t="n">
        <v>-0.0051256255839822</v>
      </c>
      <c r="CA21" t="n">
        <v>290</v>
      </c>
      <c r="CB21" t="n">
        <v>504.87</v>
      </c>
      <c r="CC21" t="n">
        <v>625</v>
      </c>
      <c r="CD21" t="n">
        <v>8142.46</v>
      </c>
      <c r="CE21" t="n">
        <v>509.34</v>
      </c>
      <c r="CF21" t="n">
        <v>-4.47</v>
      </c>
      <c r="CT21">
        <f>$B$11*DR21+$C$11*DS21+$F$11*DT21*(1-DW21)</f>
        <v/>
      </c>
      <c r="CU21">
        <f>CT21*CV21</f>
        <v/>
      </c>
      <c r="CV21">
        <f>($B$11*$D$9+$C$11*$D$9+$F$11*((EG21+DY21)/MAX(EG21+DY21+EH21, 0.1)*$I$9+EH21/MAX(EG21+DY21+EH21, 0.1)*$J$9))/($B$11+$C$11+$F$11)</f>
        <v/>
      </c>
      <c r="CW21">
        <f>($B$11*$K$9+$C$11*$K$9+$F$11*((EG21+DY21)/MAX(EG21+DY21+EH21, 0.1)*$P$9+EH21/MAX(EG21+DY21+EH21,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1792296464</v>
      </c>
      <c r="DC21" t="n">
        <v>399.9826</v>
      </c>
      <c r="DD21" t="n">
        <v>405.091</v>
      </c>
      <c r="DE21" t="n">
        <v>17.94436</v>
      </c>
      <c r="DF21" t="n">
        <v>16.68168</v>
      </c>
      <c r="DG21" t="n">
        <v>400.2012</v>
      </c>
      <c r="DH21" t="n">
        <v>18.0827</v>
      </c>
      <c r="DI21" t="n">
        <v>499.9932</v>
      </c>
      <c r="DJ21" t="n">
        <v>100.9036</v>
      </c>
      <c r="DK21" t="n">
        <v>0.10022712</v>
      </c>
      <c r="DL21" t="n">
        <v>25.69356</v>
      </c>
      <c r="DM21" t="n">
        <v>25.01784</v>
      </c>
      <c r="DN21" t="n">
        <v>999.9</v>
      </c>
      <c r="DO21" t="n">
        <v>0</v>
      </c>
      <c r="DP21" t="n">
        <v>0</v>
      </c>
      <c r="DQ21" t="n">
        <v>9990.616</v>
      </c>
      <c r="DR21" t="n">
        <v>0</v>
      </c>
      <c r="DS21" t="n">
        <v>7.269902</v>
      </c>
      <c r="DT21" t="n">
        <v>399.9304</v>
      </c>
      <c r="DU21" t="n">
        <v>0.9000112</v>
      </c>
      <c r="DV21" t="n">
        <v>0.09998868</v>
      </c>
      <c r="DW21" t="n">
        <v>0</v>
      </c>
      <c r="DX21" t="n">
        <v>231.0446</v>
      </c>
      <c r="DY21" t="n">
        <v>4.99999</v>
      </c>
      <c r="DZ21" t="n">
        <v>912.1352000000001</v>
      </c>
      <c r="EA21" t="n">
        <v>3837.222</v>
      </c>
      <c r="EB21" t="n">
        <v>35.2624</v>
      </c>
      <c r="EC21" t="n">
        <v>38.062</v>
      </c>
      <c r="ED21" t="n">
        <v>36.7122</v>
      </c>
      <c r="EE21" t="n">
        <v>37.687</v>
      </c>
      <c r="EF21" t="n">
        <v>37.5372</v>
      </c>
      <c r="EG21" t="n">
        <v>355.442</v>
      </c>
      <c r="EH21" t="n">
        <v>39.49</v>
      </c>
      <c r="EI21" t="n">
        <v>0</v>
      </c>
      <c r="EJ21" t="n">
        <v>121.700000047684</v>
      </c>
      <c r="EK21" t="n">
        <v>0</v>
      </c>
      <c r="EL21" t="n">
        <v>231.095961538461</v>
      </c>
      <c r="EM21" t="n">
        <v>-0.424512810722293</v>
      </c>
      <c r="EN21" t="n">
        <v>-4.47729915809284</v>
      </c>
      <c r="EO21" t="n">
        <v>912.544423076923</v>
      </c>
      <c r="EP21" t="n">
        <v>15</v>
      </c>
      <c r="EQ21" t="n">
        <v>1792296410</v>
      </c>
      <c r="ER21" t="inlineStr">
        <is>
          <t>13:06:50</t>
        </is>
      </c>
      <c r="ES21" t="n">
        <v>1792296410</v>
      </c>
      <c r="ET21" t="n">
        <v>1792296406</v>
      </c>
      <c r="EU21" t="n">
        <v>36</v>
      </c>
      <c r="EV21" t="n">
        <v>-0.017</v>
      </c>
      <c r="EW21" t="n">
        <v>-0.007</v>
      </c>
      <c r="EX21" t="n">
        <v>-0.216</v>
      </c>
      <c r="EY21" t="n">
        <v>-0.157</v>
      </c>
      <c r="EZ21" t="n">
        <v>405</v>
      </c>
      <c r="FA21" t="n">
        <v>17</v>
      </c>
      <c r="FB21" t="n">
        <v>0.21</v>
      </c>
      <c r="FC21" t="n">
        <v>0.03</v>
      </c>
      <c r="FD21" t="n">
        <v>11.4964142936053</v>
      </c>
      <c r="FE21" t="n">
        <v>-0.394124648765099</v>
      </c>
      <c r="FF21" t="n">
        <v>0.156529302746086</v>
      </c>
      <c r="FG21" t="n">
        <v>1</v>
      </c>
      <c r="FH21" t="n">
        <v>-5.130289</v>
      </c>
      <c r="FI21" t="n">
        <v>0.412872180451131</v>
      </c>
      <c r="FJ21" t="n">
        <v>0.0573775598034633</v>
      </c>
      <c r="FK21" t="n">
        <v>1</v>
      </c>
      <c r="FL21" t="n">
        <v>231.100647058824</v>
      </c>
      <c r="FM21" t="n">
        <v>-0.114255157669305</v>
      </c>
      <c r="FN21" t="n">
        <v>0.283060467698516</v>
      </c>
      <c r="FO21" t="n">
        <v>1</v>
      </c>
      <c r="FP21" t="n">
        <v>3</v>
      </c>
      <c r="FQ21" t="n">
        <v>3</v>
      </c>
      <c r="FR21" t="inlineStr">
        <is>
          <t>3/3</t>
        </is>
      </c>
      <c r="FS21" t="n">
        <v>100</v>
      </c>
      <c r="FT21" t="n">
        <v>100</v>
      </c>
      <c r="FU21" t="n">
        <v>-0.218</v>
      </c>
      <c r="FV21" t="n">
        <v>-0.1384</v>
      </c>
      <c r="FW21" t="n">
        <v>-0.293452765554708</v>
      </c>
      <c r="FX21" t="n">
        <v>-6.16732984266029e-05</v>
      </c>
      <c r="FY21" t="n">
        <v>6.19398071816742e-07</v>
      </c>
      <c r="FZ21" t="n">
        <v>3.19222985850634e-12</v>
      </c>
      <c r="GA21" t="n">
        <v>-0.06551973841209099</v>
      </c>
      <c r="GB21" t="n">
        <v>-0.0257783215012692</v>
      </c>
      <c r="GC21" t="n">
        <v>0.00133723821780375</v>
      </c>
      <c r="GD21" t="n">
        <v>-7.42160749481374e-06</v>
      </c>
      <c r="GE21" t="n">
        <v>7</v>
      </c>
      <c r="GF21" t="n">
        <v>2154</v>
      </c>
      <c r="GG21" t="n">
        <v>2</v>
      </c>
      <c r="GH21" t="n">
        <v>20</v>
      </c>
      <c r="GI21" t="n">
        <v>0.9</v>
      </c>
      <c r="GJ21" t="n">
        <v>1</v>
      </c>
      <c r="GK21" t="n">
        <v>1.0498</v>
      </c>
      <c r="GL21" t="n">
        <v>2.65991</v>
      </c>
      <c r="GM21" t="n">
        <v>1.65161</v>
      </c>
      <c r="GN21" t="n">
        <v>2.27539</v>
      </c>
      <c r="GO21" t="n">
        <v>1.5979</v>
      </c>
      <c r="GP21" t="n">
        <v>2.64404</v>
      </c>
      <c r="GQ21" t="n">
        <v>37.6022</v>
      </c>
      <c r="GR21" t="n">
        <v>23.7986</v>
      </c>
      <c r="GS21" t="n">
        <v>18</v>
      </c>
      <c r="GT21" t="n">
        <v>504.78</v>
      </c>
      <c r="GU21" t="n">
        <v>522.796</v>
      </c>
      <c r="GV21" t="n">
        <v>23.4994</v>
      </c>
      <c r="GW21" t="n">
        <v>29.6082</v>
      </c>
      <c r="GX21" t="n">
        <v>29.9994</v>
      </c>
      <c r="GY21" t="n">
        <v>29.7753</v>
      </c>
      <c r="GZ21" t="n">
        <v>29.8328</v>
      </c>
      <c r="HA21" t="n">
        <v>20.997</v>
      </c>
      <c r="HB21" t="n">
        <v>20.6492</v>
      </c>
      <c r="HC21" t="n">
        <v>19.1024</v>
      </c>
      <c r="HD21" t="n">
        <v>23.5537</v>
      </c>
      <c r="HE21" t="n">
        <v>405.124</v>
      </c>
      <c r="HF21" t="n">
        <v>16.7966</v>
      </c>
      <c r="HG21" t="n">
        <v>98.0189</v>
      </c>
      <c r="HH21" t="n">
        <v>94.5196</v>
      </c>
    </row>
    <row r="22">
      <c r="A22" t="n">
        <v>6</v>
      </c>
      <c r="B22" t="n">
        <v>1792296650</v>
      </c>
      <c r="C22" t="n">
        <v>788</v>
      </c>
      <c r="D22" t="inlineStr">
        <is>
          <t>20261018 13:10:50</t>
        </is>
      </c>
      <c r="E22" t="inlineStr">
        <is>
          <t>13:10:50</t>
        </is>
      </c>
      <c r="F22" t="n">
        <v>5</v>
      </c>
      <c r="G22" t="n">
        <v>1792296646.5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MPF-229-20261018-11_34_30</t>
        </is>
      </c>
      <c r="AK22" t="n">
        <v>8125.4</v>
      </c>
      <c r="AL22" t="n">
        <v>230.654807692308</v>
      </c>
      <c r="AM22" t="n">
        <v>1050.94976592848</v>
      </c>
      <c r="AN22">
        <f>1-AL22/AM22</f>
        <v/>
      </c>
      <c r="AO22" t="n">
        <v>-2.22481790193981</v>
      </c>
      <c r="AP22" t="inlineStr">
        <is>
          <t>MPF-235-20261018-13_10_54</t>
        </is>
      </c>
      <c r="AQ22" t="n">
        <v>8126.44</v>
      </c>
      <c r="AR22" t="n">
        <v>208.193423076923</v>
      </c>
      <c r="AS22" t="n">
        <v>595.580241071453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235</v>
      </c>
      <c r="BM22" t="n">
        <v>290</v>
      </c>
      <c r="BN22" t="n">
        <v>563.5700000000001</v>
      </c>
      <c r="BO22" t="n">
        <v>185</v>
      </c>
      <c r="BP22" t="n">
        <v>8126.44</v>
      </c>
      <c r="BQ22" t="n">
        <v>562.28</v>
      </c>
      <c r="BR22" t="n">
        <v>1.29</v>
      </c>
      <c r="BS22" t="n">
        <v>300</v>
      </c>
      <c r="BT22" t="n">
        <v>19.1</v>
      </c>
      <c r="BU22" t="n">
        <v>595.580241071453</v>
      </c>
      <c r="BV22" t="n">
        <v>2.60909354500786</v>
      </c>
      <c r="BW22" t="n">
        <v>-27.0637647022603</v>
      </c>
      <c r="BX22" t="n">
        <v>1.90169531004216</v>
      </c>
      <c r="BY22" t="n">
        <v>0.878542027709639</v>
      </c>
      <c r="BZ22" t="n">
        <v>-0.00524434260289211</v>
      </c>
      <c r="CA22" t="n">
        <v>290</v>
      </c>
      <c r="CB22" t="n">
        <v>559.92</v>
      </c>
      <c r="CC22" t="n">
        <v>675</v>
      </c>
      <c r="CD22" t="n">
        <v>8117.5</v>
      </c>
      <c r="CE22" t="n">
        <v>562.24</v>
      </c>
      <c r="CF22" t="n">
        <v>-2.32</v>
      </c>
      <c r="CT22">
        <f>$B$11*DR22+$C$11*DS22+$F$11*DT22*(1-DW22)</f>
        <v/>
      </c>
      <c r="CU22">
        <f>CT22*CV22</f>
        <v/>
      </c>
      <c r="CV22">
        <f>($B$11*$D$9+$C$11*$D$9+$F$11*((EG22+DY22)/MAX(EG22+DY22+EH22, 0.1)*$I$9+EH22/MAX(EG22+DY22+EH22, 0.1)*$J$9))/($B$11+$C$11+$F$11)</f>
        <v/>
      </c>
      <c r="CW22">
        <f>($B$11*$K$9+$C$11*$K$9+$F$11*((EG22+DY22)/MAX(EG22+DY22+EH22, 0.1)*$P$9+EH22/MAX(EG22+DY22+EH22,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1792296646.5</v>
      </c>
      <c r="DC22" t="n">
        <v>400.0195</v>
      </c>
      <c r="DD22" t="n">
        <v>403.146166666667</v>
      </c>
      <c r="DE22" t="n">
        <v>18.2304833333333</v>
      </c>
      <c r="DF22" t="n">
        <v>17.0784666666667</v>
      </c>
      <c r="DG22" t="n">
        <v>400.279166666667</v>
      </c>
      <c r="DH22" t="n">
        <v>18.3650333333333</v>
      </c>
      <c r="DI22" t="n">
        <v>500.029</v>
      </c>
      <c r="DJ22" t="n">
        <v>100.909833333333</v>
      </c>
      <c r="DK22" t="n">
        <v>0.100069716666667</v>
      </c>
      <c r="DL22" t="n">
        <v>25.8377833333333</v>
      </c>
      <c r="DM22" t="n">
        <v>25.0416666666667</v>
      </c>
      <c r="DN22" t="n">
        <v>999.9</v>
      </c>
      <c r="DO22" t="n">
        <v>0</v>
      </c>
      <c r="DP22" t="n">
        <v>0</v>
      </c>
      <c r="DQ22" t="n">
        <v>9988.125</v>
      </c>
      <c r="DR22" t="n">
        <v>0</v>
      </c>
      <c r="DS22" t="n">
        <v>7.22783</v>
      </c>
      <c r="DT22" t="n">
        <v>200.0135</v>
      </c>
      <c r="DU22" t="n">
        <v>0.900027833333333</v>
      </c>
      <c r="DV22" t="n">
        <v>0.0999719666666667</v>
      </c>
      <c r="DW22" t="n">
        <v>0</v>
      </c>
      <c r="DX22" t="n">
        <v>208.122333333333</v>
      </c>
      <c r="DY22" t="n">
        <v>4.99999</v>
      </c>
      <c r="DZ22" t="n">
        <v>416.136166666667</v>
      </c>
      <c r="EA22" t="n">
        <v>1894.79666666667</v>
      </c>
      <c r="EB22" t="n">
        <v>36.3016666666667</v>
      </c>
      <c r="EC22" t="n">
        <v>41.2081666666667</v>
      </c>
      <c r="ED22" t="n">
        <v>38.458</v>
      </c>
      <c r="EE22" t="n">
        <v>42.0205</v>
      </c>
      <c r="EF22" t="n">
        <v>39.4371666666667</v>
      </c>
      <c r="EG22" t="n">
        <v>175.516666666667</v>
      </c>
      <c r="EH22" t="n">
        <v>19.4983333333333</v>
      </c>
      <c r="EI22" t="n">
        <v>0</v>
      </c>
      <c r="EJ22" t="n">
        <v>181.700000047684</v>
      </c>
      <c r="EK22" t="n">
        <v>0</v>
      </c>
      <c r="EL22" t="n">
        <v>208.193423076923</v>
      </c>
      <c r="EM22" t="n">
        <v>-0.771179491181612</v>
      </c>
      <c r="EN22" t="n">
        <v>-3.48116238979174</v>
      </c>
      <c r="EO22" t="n">
        <v>416.277923076923</v>
      </c>
      <c r="EP22" t="n">
        <v>15</v>
      </c>
      <c r="EQ22" t="n">
        <v>1792296544</v>
      </c>
      <c r="ER22" t="inlineStr">
        <is>
          <t>13:09:04</t>
        </is>
      </c>
      <c r="ES22" t="n">
        <v>1792296539</v>
      </c>
      <c r="ET22" t="n">
        <v>1792296544</v>
      </c>
      <c r="EU22" t="n">
        <v>37</v>
      </c>
      <c r="EV22" t="n">
        <v>-0.041</v>
      </c>
      <c r="EW22" t="n">
        <v>-0.001</v>
      </c>
      <c r="EX22" t="n">
        <v>-0.258</v>
      </c>
      <c r="EY22" t="n">
        <v>-0.155</v>
      </c>
      <c r="EZ22" t="n">
        <v>403</v>
      </c>
      <c r="FA22" t="n">
        <v>17</v>
      </c>
      <c r="FB22" t="n">
        <v>0.38</v>
      </c>
      <c r="FC22" t="n">
        <v>0.07000000000000001</v>
      </c>
      <c r="FD22" t="n">
        <v>6.70415194643083</v>
      </c>
      <c r="FE22" t="n">
        <v>-0.310356812023209</v>
      </c>
      <c r="FF22" t="n">
        <v>0.112452203350039</v>
      </c>
      <c r="FG22" t="n">
        <v>1</v>
      </c>
      <c r="FH22" t="n">
        <v>-3.136938</v>
      </c>
      <c r="FI22" t="n">
        <v>0.110603007518798</v>
      </c>
      <c r="FJ22" t="n">
        <v>0.0445121350420309</v>
      </c>
      <c r="FK22" t="n">
        <v>1</v>
      </c>
      <c r="FL22" t="n">
        <v>208.295294117647</v>
      </c>
      <c r="FM22" t="n">
        <v>-1.19233001871623</v>
      </c>
      <c r="FN22" t="n">
        <v>0.361988993122538</v>
      </c>
      <c r="FO22" t="n">
        <v>0</v>
      </c>
      <c r="FP22" t="n">
        <v>2</v>
      </c>
      <c r="FQ22" t="n">
        <v>3</v>
      </c>
      <c r="FR22" t="inlineStr">
        <is>
          <t>2/3</t>
        </is>
      </c>
      <c r="FS22" t="n">
        <v>100</v>
      </c>
      <c r="FT22" t="n">
        <v>100</v>
      </c>
      <c r="FU22" t="n">
        <v>-0.26</v>
      </c>
      <c r="FV22" t="n">
        <v>-0.1346</v>
      </c>
      <c r="FW22" t="n">
        <v>-0.334478559692521</v>
      </c>
      <c r="FX22" t="n">
        <v>-6.16732984266029e-05</v>
      </c>
      <c r="FY22" t="n">
        <v>6.19398071816742e-07</v>
      </c>
      <c r="FZ22" t="n">
        <v>3.19222985850634e-12</v>
      </c>
      <c r="GA22" t="n">
        <v>-0.06618536873872249</v>
      </c>
      <c r="GB22" t="n">
        <v>-0.0257783215012692</v>
      </c>
      <c r="GC22" t="n">
        <v>0.00133723821780375</v>
      </c>
      <c r="GD22" t="n">
        <v>-7.42160749481374e-06</v>
      </c>
      <c r="GE22" t="n">
        <v>7</v>
      </c>
      <c r="GF22" t="n">
        <v>2154</v>
      </c>
      <c r="GG22" t="n">
        <v>2</v>
      </c>
      <c r="GH22" t="n">
        <v>20</v>
      </c>
      <c r="GI22" t="n">
        <v>1.9</v>
      </c>
      <c r="GJ22" t="n">
        <v>1.8</v>
      </c>
      <c r="GK22" t="n">
        <v>1.04614</v>
      </c>
      <c r="GL22" t="n">
        <v>2.65381</v>
      </c>
      <c r="GM22" t="n">
        <v>1.65161</v>
      </c>
      <c r="GN22" t="n">
        <v>2.27417</v>
      </c>
      <c r="GO22" t="n">
        <v>1.5979</v>
      </c>
      <c r="GP22" t="n">
        <v>2.51221</v>
      </c>
      <c r="GQ22" t="n">
        <v>37.6263</v>
      </c>
      <c r="GR22" t="n">
        <v>23.7986</v>
      </c>
      <c r="GS22" t="n">
        <v>18</v>
      </c>
      <c r="GT22" t="n">
        <v>504.839</v>
      </c>
      <c r="GU22" t="n">
        <v>522.765</v>
      </c>
      <c r="GV22" t="n">
        <v>23.7622</v>
      </c>
      <c r="GW22" t="n">
        <v>29.6438</v>
      </c>
      <c r="GX22" t="n">
        <v>30.0001</v>
      </c>
      <c r="GY22" t="n">
        <v>29.8039</v>
      </c>
      <c r="GZ22" t="n">
        <v>29.8617</v>
      </c>
      <c r="HA22" t="n">
        <v>20.9208</v>
      </c>
      <c r="HB22" t="n">
        <v>20.5195</v>
      </c>
      <c r="HC22" t="n">
        <v>20.8594</v>
      </c>
      <c r="HD22" t="n">
        <v>23.7409</v>
      </c>
      <c r="HE22" t="n">
        <v>403.087</v>
      </c>
      <c r="HF22" t="n">
        <v>17.0113</v>
      </c>
      <c r="HG22" t="n">
        <v>98.0183</v>
      </c>
      <c r="HH22" t="n">
        <v>94.5129</v>
      </c>
    </row>
    <row r="23">
      <c r="A23" t="n">
        <v>7</v>
      </c>
      <c r="B23" t="n">
        <v>1792296785</v>
      </c>
      <c r="C23" t="n">
        <v>923</v>
      </c>
      <c r="D23" t="inlineStr">
        <is>
          <t>20261018 13:13:05</t>
        </is>
      </c>
      <c r="E23" t="inlineStr">
        <is>
          <t>13:13:05</t>
        </is>
      </c>
      <c r="F23" t="n">
        <v>5</v>
      </c>
      <c r="G23" t="n">
        <v>1792296782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MPF-229-20261018-11_34_30</t>
        </is>
      </c>
      <c r="AK23" t="n">
        <v>8125.4</v>
      </c>
      <c r="AL23" t="n">
        <v>230.654807692308</v>
      </c>
      <c r="AM23" t="n">
        <v>1050.94976592848</v>
      </c>
      <c r="AN23">
        <f>1-AL23/AM23</f>
        <v/>
      </c>
      <c r="AO23" t="n">
        <v>-2.22481790193981</v>
      </c>
      <c r="AP23" t="inlineStr">
        <is>
          <t>MPF-236-20261018-13_13_09</t>
        </is>
      </c>
      <c r="AQ23" t="n">
        <v>8118.86</v>
      </c>
      <c r="AR23" t="n">
        <v>196.381538461538</v>
      </c>
      <c r="AS23" t="n">
        <v>614.640940398725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236</v>
      </c>
      <c r="BM23" t="n">
        <v>290</v>
      </c>
      <c r="BN23" t="n">
        <v>592.6799999999999</v>
      </c>
      <c r="BO23" t="n">
        <v>245</v>
      </c>
      <c r="BP23" t="n">
        <v>8118.86</v>
      </c>
      <c r="BQ23" t="n">
        <v>591.5599999999999</v>
      </c>
      <c r="BR23" t="n">
        <v>1.12</v>
      </c>
      <c r="BS23" t="n">
        <v>300</v>
      </c>
      <c r="BT23" t="n">
        <v>19.1</v>
      </c>
      <c r="BU23" t="n">
        <v>614.640940398725</v>
      </c>
      <c r="BV23" t="n">
        <v>3.15440548162544</v>
      </c>
      <c r="BW23" t="n">
        <v>-18.7418456755474</v>
      </c>
      <c r="BX23" t="n">
        <v>2.29421993021883</v>
      </c>
      <c r="BY23" t="n">
        <v>0.704439154631375</v>
      </c>
      <c r="BZ23" t="n">
        <v>-0.00530754193548386</v>
      </c>
      <c r="CA23" t="n">
        <v>290</v>
      </c>
      <c r="CB23" t="n">
        <v>589.37</v>
      </c>
      <c r="CC23" t="n">
        <v>615</v>
      </c>
      <c r="CD23" t="n">
        <v>8113.96</v>
      </c>
      <c r="CE23" t="n">
        <v>591.54</v>
      </c>
      <c r="CF23" t="n">
        <v>-2.17</v>
      </c>
      <c r="CT23">
        <f>$B$11*DR23+$C$11*DS23+$F$11*DT23*(1-DW23)</f>
        <v/>
      </c>
      <c r="CU23">
        <f>CT23*CV23</f>
        <v/>
      </c>
      <c r="CV23">
        <f>($B$11*$D$9+$C$11*$D$9+$F$11*((EG23+DY23)/MAX(EG23+DY23+EH23, 0.1)*$I$9+EH23/MAX(EG23+DY23+EH23, 0.1)*$J$9))/($B$11+$C$11+$F$11)</f>
        <v/>
      </c>
      <c r="CW23">
        <f>($B$11*$K$9+$C$11*$K$9+$F$11*((EG23+DY23)/MAX(EG23+DY23+EH23, 0.1)*$P$9+EH23/MAX(EG23+DY23+EH23,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1792296782</v>
      </c>
      <c r="DC23" t="n">
        <v>400.0314</v>
      </c>
      <c r="DD23" t="n">
        <v>401.6284</v>
      </c>
      <c r="DE23" t="n">
        <v>18.12642</v>
      </c>
      <c r="DF23" t="n">
        <v>17.08632</v>
      </c>
      <c r="DG23" t="n">
        <v>400.2894</v>
      </c>
      <c r="DH23" t="n">
        <v>18.26488</v>
      </c>
      <c r="DI23" t="n">
        <v>500.0924</v>
      </c>
      <c r="DJ23" t="n">
        <v>100.915</v>
      </c>
      <c r="DK23" t="n">
        <v>0.1003278</v>
      </c>
      <c r="DL23" t="n">
        <v>25.8026</v>
      </c>
      <c r="DM23" t="n">
        <v>25.0075</v>
      </c>
      <c r="DN23" t="n">
        <v>999.9</v>
      </c>
      <c r="DO23" t="n">
        <v>0</v>
      </c>
      <c r="DP23" t="n">
        <v>0</v>
      </c>
      <c r="DQ23" t="n">
        <v>9966.25</v>
      </c>
      <c r="DR23" t="n">
        <v>0</v>
      </c>
      <c r="DS23" t="n">
        <v>7.22783</v>
      </c>
      <c r="DT23" t="n">
        <v>100.02722</v>
      </c>
      <c r="DU23" t="n">
        <v>0.8999509999999999</v>
      </c>
      <c r="DV23" t="n">
        <v>0.10004902</v>
      </c>
      <c r="DW23" t="n">
        <v>0</v>
      </c>
      <c r="DX23" t="n">
        <v>196.4118</v>
      </c>
      <c r="DY23" t="n">
        <v>4.99999</v>
      </c>
      <c r="DZ23" t="n">
        <v>190.2568</v>
      </c>
      <c r="EA23" t="n">
        <v>923.2846</v>
      </c>
      <c r="EB23" t="n">
        <v>35.2748</v>
      </c>
      <c r="EC23" t="n">
        <v>38.5872</v>
      </c>
      <c r="ED23" t="n">
        <v>37.062</v>
      </c>
      <c r="EE23" t="n">
        <v>38.375</v>
      </c>
      <c r="EF23" t="n">
        <v>37.7122</v>
      </c>
      <c r="EG23" t="n">
        <v>85.52</v>
      </c>
      <c r="EH23" t="n">
        <v>9.51</v>
      </c>
      <c r="EI23" t="n">
        <v>0</v>
      </c>
      <c r="EJ23" t="n">
        <v>134.100000143051</v>
      </c>
      <c r="EK23" t="n">
        <v>0</v>
      </c>
      <c r="EL23" t="n">
        <v>196.381538461538</v>
      </c>
      <c r="EM23" t="n">
        <v>-0.922529898978637</v>
      </c>
      <c r="EN23" t="n">
        <v>-3.4566837584955</v>
      </c>
      <c r="EO23" t="n">
        <v>190.546153846154</v>
      </c>
      <c r="EP23" t="n">
        <v>15</v>
      </c>
      <c r="EQ23" t="n">
        <v>1792296722</v>
      </c>
      <c r="ER23" t="inlineStr">
        <is>
          <t>13:12:02</t>
        </is>
      </c>
      <c r="ES23" t="n">
        <v>1792296718</v>
      </c>
      <c r="ET23" t="n">
        <v>1792296722</v>
      </c>
      <c r="EU23" t="n">
        <v>38</v>
      </c>
      <c r="EV23" t="n">
        <v>0.002</v>
      </c>
      <c r="EW23" t="n">
        <v>-0.002</v>
      </c>
      <c r="EX23" t="n">
        <v>-0.257</v>
      </c>
      <c r="EY23" t="n">
        <v>-0.155</v>
      </c>
      <c r="EZ23" t="n">
        <v>402</v>
      </c>
      <c r="FA23" t="n">
        <v>17</v>
      </c>
      <c r="FB23" t="n">
        <v>0.41</v>
      </c>
      <c r="FC23" t="n">
        <v>0.07000000000000001</v>
      </c>
      <c r="FD23" t="n">
        <v>3.06853346292212</v>
      </c>
      <c r="FE23" t="n">
        <v>-0.459716958010418</v>
      </c>
      <c r="FF23" t="n">
        <v>0.0792827681776556</v>
      </c>
      <c r="FG23" t="n">
        <v>1</v>
      </c>
      <c r="FH23" t="n">
        <v>-1.649534</v>
      </c>
      <c r="FI23" t="n">
        <v>0.23069052631579</v>
      </c>
      <c r="FJ23" t="n">
        <v>0.0345929614806249</v>
      </c>
      <c r="FK23" t="n">
        <v>1</v>
      </c>
      <c r="FL23" t="n">
        <v>196.486823529412</v>
      </c>
      <c r="FM23" t="n">
        <v>-0.7890603513489191</v>
      </c>
      <c r="FN23" t="n">
        <v>0.352727312655862</v>
      </c>
      <c r="FO23" t="n">
        <v>1</v>
      </c>
      <c r="FP23" t="n">
        <v>3</v>
      </c>
      <c r="FQ23" t="n">
        <v>3</v>
      </c>
      <c r="FR23" t="inlineStr">
        <is>
          <t>3/3</t>
        </is>
      </c>
      <c r="FS23" t="n">
        <v>100</v>
      </c>
      <c r="FT23" t="n">
        <v>100</v>
      </c>
      <c r="FU23" t="n">
        <v>-0.258</v>
      </c>
      <c r="FV23" t="n">
        <v>-0.1385</v>
      </c>
      <c r="FW23" t="n">
        <v>-0.332406099064358</v>
      </c>
      <c r="FX23" t="n">
        <v>-6.16732984266029e-05</v>
      </c>
      <c r="FY23" t="n">
        <v>6.19398071816742e-07</v>
      </c>
      <c r="FZ23" t="n">
        <v>3.19222985850634e-12</v>
      </c>
      <c r="GA23" t="n">
        <v>-0.0685090888828209</v>
      </c>
      <c r="GB23" t="n">
        <v>-0.0257783215012692</v>
      </c>
      <c r="GC23" t="n">
        <v>0.00133723821780375</v>
      </c>
      <c r="GD23" t="n">
        <v>-7.42160749481374e-06</v>
      </c>
      <c r="GE23" t="n">
        <v>7</v>
      </c>
      <c r="GF23" t="n">
        <v>2154</v>
      </c>
      <c r="GG23" t="n">
        <v>2</v>
      </c>
      <c r="GH23" t="n">
        <v>20</v>
      </c>
      <c r="GI23" t="n">
        <v>1.1</v>
      </c>
      <c r="GJ23" t="n">
        <v>1.1</v>
      </c>
      <c r="GK23" t="n">
        <v>1.04248</v>
      </c>
      <c r="GL23" t="n">
        <v>2.64893</v>
      </c>
      <c r="GM23" t="n">
        <v>1.65161</v>
      </c>
      <c r="GN23" t="n">
        <v>2.27417</v>
      </c>
      <c r="GO23" t="n">
        <v>1.5979</v>
      </c>
      <c r="GP23" t="n">
        <v>2.62817</v>
      </c>
      <c r="GQ23" t="n">
        <v>37.6504</v>
      </c>
      <c r="GR23" t="n">
        <v>23.8073</v>
      </c>
      <c r="GS23" t="n">
        <v>18</v>
      </c>
      <c r="GT23" t="n">
        <v>504.662</v>
      </c>
      <c r="GU23" t="n">
        <v>522.443</v>
      </c>
      <c r="GV23" t="n">
        <v>23.7861</v>
      </c>
      <c r="GW23" t="n">
        <v>29.6776</v>
      </c>
      <c r="GX23" t="n">
        <v>30.0004</v>
      </c>
      <c r="GY23" t="n">
        <v>29.8315</v>
      </c>
      <c r="GZ23" t="n">
        <v>29.8874</v>
      </c>
      <c r="HA23" t="n">
        <v>20.8639</v>
      </c>
      <c r="HB23" t="n">
        <v>21.1914</v>
      </c>
      <c r="HC23" t="n">
        <v>21.92</v>
      </c>
      <c r="HD23" t="n">
        <v>23.7796</v>
      </c>
      <c r="HE23" t="n">
        <v>401.598</v>
      </c>
      <c r="HF23" t="n">
        <v>17.1509</v>
      </c>
      <c r="HG23" t="n">
        <v>98.01090000000001</v>
      </c>
      <c r="HH23" t="n">
        <v>94.5098</v>
      </c>
    </row>
    <row r="24">
      <c r="A24" t="n">
        <v>8</v>
      </c>
      <c r="B24" t="n">
        <v>1792296930</v>
      </c>
      <c r="C24" t="n">
        <v>1068</v>
      </c>
      <c r="D24" t="inlineStr">
        <is>
          <t>20261018 13:15:30</t>
        </is>
      </c>
      <c r="E24" t="inlineStr">
        <is>
          <t>13:15:30</t>
        </is>
      </c>
      <c r="F24" t="n">
        <v>5</v>
      </c>
      <c r="G24" t="n">
        <v>1792296927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MPF-229-20261018-11_34_30</t>
        </is>
      </c>
      <c r="AK24" t="n">
        <v>8125.4</v>
      </c>
      <c r="AL24" t="n">
        <v>230.654807692308</v>
      </c>
      <c r="AM24" t="n">
        <v>1050.94976592848</v>
      </c>
      <c r="AN24">
        <f>1-AL24/AM24</f>
        <v/>
      </c>
      <c r="AO24" t="n">
        <v>-2.22481790193981</v>
      </c>
      <c r="AP24" t="inlineStr">
        <is>
          <t>MPF-237-20261018-13_15_34</t>
        </is>
      </c>
      <c r="AQ24" t="n">
        <v>8114.19</v>
      </c>
      <c r="AR24" t="n">
        <v>190.65456</v>
      </c>
      <c r="AS24" t="n">
        <v>642.957356750102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237</v>
      </c>
      <c r="BM24" t="n">
        <v>290</v>
      </c>
      <c r="BN24" t="n">
        <v>621.55</v>
      </c>
      <c r="BO24" t="n">
        <v>215</v>
      </c>
      <c r="BP24" t="n">
        <v>8114.19</v>
      </c>
      <c r="BQ24" t="n">
        <v>619.67</v>
      </c>
      <c r="BR24" t="n">
        <v>1.88</v>
      </c>
      <c r="BS24" t="n">
        <v>300</v>
      </c>
      <c r="BT24" t="n">
        <v>19.1</v>
      </c>
      <c r="BU24" t="n">
        <v>642.957356750102</v>
      </c>
      <c r="BV24" t="n">
        <v>2.09033164292112</v>
      </c>
      <c r="BW24" t="n">
        <v>-18.8917678079387</v>
      </c>
      <c r="BX24" t="n">
        <v>1.51801051791404</v>
      </c>
      <c r="BY24" t="n">
        <v>0.846894226903886</v>
      </c>
      <c r="BZ24" t="n">
        <v>-0.00533800956618467</v>
      </c>
      <c r="CA24" t="n">
        <v>290</v>
      </c>
      <c r="CB24" t="n">
        <v>617.02</v>
      </c>
      <c r="CC24" t="n">
        <v>615</v>
      </c>
      <c r="CD24" t="n">
        <v>8108.08</v>
      </c>
      <c r="CE24" t="n">
        <v>619.66</v>
      </c>
      <c r="CF24" t="n">
        <v>-2.64</v>
      </c>
      <c r="CT24">
        <f>$B$11*DR24+$C$11*DS24+$F$11*DT24*(1-DW24)</f>
        <v/>
      </c>
      <c r="CU24">
        <f>CT24*CV24</f>
        <v/>
      </c>
      <c r="CV24">
        <f>($B$11*$D$9+$C$11*$D$9+$F$11*((EG24+DY24)/MAX(EG24+DY24+EH24, 0.1)*$I$9+EH24/MAX(EG24+DY24+EH24, 0.1)*$J$9))/($B$11+$C$11+$F$11)</f>
        <v/>
      </c>
      <c r="CW24">
        <f>($B$11*$K$9+$C$11*$K$9+$F$11*((EG24+DY24)/MAX(EG24+DY24+EH24, 0.1)*$P$9+EH24/MAX(EG24+DY24+EH24,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1792296927</v>
      </c>
      <c r="DC24" t="n">
        <v>400.0004</v>
      </c>
      <c r="DD24" t="n">
        <v>400.7566</v>
      </c>
      <c r="DE24" t="n">
        <v>18.07128</v>
      </c>
      <c r="DF24" t="n">
        <v>17.19492</v>
      </c>
      <c r="DG24" t="n">
        <v>400.2582</v>
      </c>
      <c r="DH24" t="n">
        <v>18.21208</v>
      </c>
      <c r="DI24" t="n">
        <v>499.9766</v>
      </c>
      <c r="DJ24" t="n">
        <v>100.9148</v>
      </c>
      <c r="DK24" t="n">
        <v>0.10003686</v>
      </c>
      <c r="DL24" t="n">
        <v>25.71348</v>
      </c>
      <c r="DM24" t="n">
        <v>25.01296</v>
      </c>
      <c r="DN24" t="n">
        <v>999.9</v>
      </c>
      <c r="DO24" t="n">
        <v>0</v>
      </c>
      <c r="DP24" t="n">
        <v>0</v>
      </c>
      <c r="DQ24" t="n">
        <v>9996.75</v>
      </c>
      <c r="DR24" t="n">
        <v>0</v>
      </c>
      <c r="DS24" t="n">
        <v>7.22783</v>
      </c>
      <c r="DT24" t="n">
        <v>49.98946</v>
      </c>
      <c r="DU24" t="n">
        <v>0.9000812</v>
      </c>
      <c r="DV24" t="n">
        <v>0.0999192</v>
      </c>
      <c r="DW24" t="n">
        <v>0</v>
      </c>
      <c r="DX24" t="n">
        <v>190.7346</v>
      </c>
      <c r="DY24" t="n">
        <v>4.99999</v>
      </c>
      <c r="DZ24" t="n">
        <v>84.73018</v>
      </c>
      <c r="EA24" t="n">
        <v>437.1366</v>
      </c>
      <c r="EB24" t="n">
        <v>35.062</v>
      </c>
      <c r="EC24" t="n">
        <v>39.6498</v>
      </c>
      <c r="ED24" t="n">
        <v>37.2748</v>
      </c>
      <c r="EE24" t="n">
        <v>39.7498</v>
      </c>
      <c r="EF24" t="n">
        <v>38.187</v>
      </c>
      <c r="EG24" t="n">
        <v>40.494</v>
      </c>
      <c r="EH24" t="n">
        <v>4.498</v>
      </c>
      <c r="EI24" t="n">
        <v>0</v>
      </c>
      <c r="EJ24" t="n">
        <v>144.100000143051</v>
      </c>
      <c r="EK24" t="n">
        <v>0</v>
      </c>
      <c r="EL24" t="n">
        <v>190.65456</v>
      </c>
      <c r="EM24" t="n">
        <v>0.982461522114773</v>
      </c>
      <c r="EN24" t="n">
        <v>1.10230771223097</v>
      </c>
      <c r="EO24" t="n">
        <v>84.52599600000001</v>
      </c>
      <c r="EP24" t="n">
        <v>15</v>
      </c>
      <c r="EQ24" t="n">
        <v>1792296855</v>
      </c>
      <c r="ER24" t="inlineStr">
        <is>
          <t>13:14:15</t>
        </is>
      </c>
      <c r="ES24" t="n">
        <v>1792296851</v>
      </c>
      <c r="ET24" t="n">
        <v>1792296855</v>
      </c>
      <c r="EU24" t="n">
        <v>39</v>
      </c>
      <c r="EV24" t="n">
        <v>0</v>
      </c>
      <c r="EW24" t="n">
        <v>-0.002</v>
      </c>
      <c r="EX24" t="n">
        <v>-0.258</v>
      </c>
      <c r="EY24" t="n">
        <v>-0.153</v>
      </c>
      <c r="EZ24" t="n">
        <v>401</v>
      </c>
      <c r="FA24" t="n">
        <v>17</v>
      </c>
      <c r="FB24" t="n">
        <v>0.36</v>
      </c>
      <c r="FC24" t="n">
        <v>0.07000000000000001</v>
      </c>
      <c r="FD24" t="n">
        <v>0.944196873201166</v>
      </c>
      <c r="FE24" t="n">
        <v>0.08797106031459601</v>
      </c>
      <c r="FF24" t="n">
        <v>0.08097092253514809</v>
      </c>
      <c r="FG24" t="n">
        <v>1</v>
      </c>
      <c r="FH24" t="n">
        <v>-0.742460619047619</v>
      </c>
      <c r="FI24" t="n">
        <v>-0.045597506493507</v>
      </c>
      <c r="FJ24" t="n">
        <v>0.0337346852540261</v>
      </c>
      <c r="FK24" t="n">
        <v>1</v>
      </c>
      <c r="FL24" t="n">
        <v>190.586882352941</v>
      </c>
      <c r="FM24" t="n">
        <v>0.800305569361619</v>
      </c>
      <c r="FN24" t="n">
        <v>0.34165744494827</v>
      </c>
      <c r="FO24" t="n">
        <v>1</v>
      </c>
      <c r="FP24" t="n">
        <v>3</v>
      </c>
      <c r="FQ24" t="n">
        <v>3</v>
      </c>
      <c r="FR24" t="inlineStr">
        <is>
          <t>3/3</t>
        </is>
      </c>
      <c r="FS24" t="n">
        <v>100</v>
      </c>
      <c r="FT24" t="n">
        <v>100</v>
      </c>
      <c r="FU24" t="n">
        <v>-0.258</v>
      </c>
      <c r="FV24" t="n">
        <v>-0.1409</v>
      </c>
      <c r="FW24" t="n">
        <v>-0.332699739757382</v>
      </c>
      <c r="FX24" t="n">
        <v>-6.16732984266029e-05</v>
      </c>
      <c r="FY24" t="n">
        <v>6.19398071816742e-07</v>
      </c>
      <c r="FZ24" t="n">
        <v>3.19222985850634e-12</v>
      </c>
      <c r="GA24" t="n">
        <v>-0.07004451311505711</v>
      </c>
      <c r="GB24" t="n">
        <v>-0.0257783215012692</v>
      </c>
      <c r="GC24" t="n">
        <v>0.00133723821780375</v>
      </c>
      <c r="GD24" t="n">
        <v>-7.42160749481374e-06</v>
      </c>
      <c r="GE24" t="n">
        <v>7</v>
      </c>
      <c r="GF24" t="n">
        <v>2154</v>
      </c>
      <c r="GG24" t="n">
        <v>2</v>
      </c>
      <c r="GH24" t="n">
        <v>20</v>
      </c>
      <c r="GI24" t="n">
        <v>1.3</v>
      </c>
      <c r="GJ24" t="n">
        <v>1.2</v>
      </c>
      <c r="GK24" t="n">
        <v>1.04126</v>
      </c>
      <c r="GL24" t="n">
        <v>2.65991</v>
      </c>
      <c r="GM24" t="n">
        <v>1.65161</v>
      </c>
      <c r="GN24" t="n">
        <v>2.27417</v>
      </c>
      <c r="GO24" t="n">
        <v>1.5979</v>
      </c>
      <c r="GP24" t="n">
        <v>2.52808</v>
      </c>
      <c r="GQ24" t="n">
        <v>37.6745</v>
      </c>
      <c r="GR24" t="n">
        <v>23.8073</v>
      </c>
      <c r="GS24" t="n">
        <v>18</v>
      </c>
      <c r="GT24" t="n">
        <v>504.788</v>
      </c>
      <c r="GU24" t="n">
        <v>521.918</v>
      </c>
      <c r="GV24" t="n">
        <v>23.7207</v>
      </c>
      <c r="GW24" t="n">
        <v>29.7052</v>
      </c>
      <c r="GX24" t="n">
        <v>30</v>
      </c>
      <c r="GY24" t="n">
        <v>29.8551</v>
      </c>
      <c r="GZ24" t="n">
        <v>29.913</v>
      </c>
      <c r="HA24" t="n">
        <v>20.8281</v>
      </c>
      <c r="HB24" t="n">
        <v>21.5544</v>
      </c>
      <c r="HC24" t="n">
        <v>22.9439</v>
      </c>
      <c r="HD24" t="n">
        <v>23.7191</v>
      </c>
      <c r="HE24" t="n">
        <v>400.666</v>
      </c>
      <c r="HF24" t="n">
        <v>17.1633</v>
      </c>
      <c r="HG24" t="n">
        <v>98.00279999999999</v>
      </c>
      <c r="HH24" t="n">
        <v>94.5048</v>
      </c>
    </row>
    <row r="25">
      <c r="A25" t="n">
        <v>9</v>
      </c>
      <c r="B25" t="n">
        <v>1792297088.1</v>
      </c>
      <c r="C25" t="n">
        <v>1226.09999990463</v>
      </c>
      <c r="D25" t="inlineStr">
        <is>
          <t>20261018 13:18:08</t>
        </is>
      </c>
      <c r="E25" t="inlineStr">
        <is>
          <t>13:18:08</t>
        </is>
      </c>
      <c r="F25" t="n">
        <v>5</v>
      </c>
      <c r="G25" t="n">
        <v>1792297084.6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MPF-238-20261018-13_18_12</t>
        </is>
      </c>
      <c r="AK25" t="n">
        <v>8114.5</v>
      </c>
      <c r="AL25" t="n">
        <v>170.695192307692</v>
      </c>
      <c r="AM25" t="n">
        <v>706.844106823418</v>
      </c>
      <c r="AN25">
        <f>1-AL25/AM25</f>
        <v/>
      </c>
      <c r="AO25" t="n">
        <v>-1.28562877276755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238</v>
      </c>
      <c r="BM25" t="n">
        <v>290</v>
      </c>
      <c r="BN25" t="n">
        <v>685.08</v>
      </c>
      <c r="BO25" t="n">
        <v>155</v>
      </c>
      <c r="BP25" t="n">
        <v>8114.5</v>
      </c>
      <c r="BQ25" t="n">
        <v>679.98</v>
      </c>
      <c r="BR25" t="n">
        <v>5.1</v>
      </c>
      <c r="BS25" t="n">
        <v>300</v>
      </c>
      <c r="BT25" t="n">
        <v>19.1</v>
      </c>
      <c r="BU25" t="n">
        <v>706.844106823418</v>
      </c>
      <c r="BV25" t="n">
        <v>2.97166849100987</v>
      </c>
      <c r="BW25" t="n">
        <v>-21.7967545701294</v>
      </c>
      <c r="BX25" t="n">
        <v>2.15589809128463</v>
      </c>
      <c r="BY25" t="n">
        <v>0.784975898435888</v>
      </c>
      <c r="BZ25" t="n">
        <v>-0.00536539243604005</v>
      </c>
      <c r="CA25" t="n">
        <v>290</v>
      </c>
      <c r="CB25" t="n">
        <v>673.11</v>
      </c>
      <c r="CC25" t="n">
        <v>615</v>
      </c>
      <c r="CD25" t="n">
        <v>8105.43</v>
      </c>
      <c r="CE25" t="n">
        <v>679.95</v>
      </c>
      <c r="CF25" t="n">
        <v>-6.84</v>
      </c>
      <c r="CT25">
        <f>$B$11*DR25+$C$11*DS25+$F$11*DT25*(1-DW25)</f>
        <v/>
      </c>
      <c r="CU25">
        <f>CT25*CV25</f>
        <v/>
      </c>
      <c r="CV25">
        <f>($B$11*$D$9+$C$11*$D$9+$F$11*((EG25+DY25)/MAX(EG25+DY25+EH25, 0.1)*$I$9+EH25/MAX(EG25+DY25+EH25, 0.1)*$J$9))/($B$11+$C$11+$F$11)</f>
        <v/>
      </c>
      <c r="CW25">
        <f>($B$11*$K$9+$C$11*$K$9+$F$11*((EG25+DY25)/MAX(EG25+DY25+EH25, 0.1)*$P$9+EH25/MAX(EG25+DY25+EH25,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1792297084.6</v>
      </c>
      <c r="DC25" t="n">
        <v>400.001333333333</v>
      </c>
      <c r="DD25" t="n">
        <v>399.769</v>
      </c>
      <c r="DE25" t="n">
        <v>18.0352666666667</v>
      </c>
      <c r="DF25" t="n">
        <v>17.3433</v>
      </c>
      <c r="DG25" t="n">
        <v>400.276333333333</v>
      </c>
      <c r="DH25" t="n">
        <v>18.1775333333333</v>
      </c>
      <c r="DI25" t="n">
        <v>500.045666666667</v>
      </c>
      <c r="DJ25" t="n">
        <v>100.913</v>
      </c>
      <c r="DK25" t="n">
        <v>0.1000764</v>
      </c>
      <c r="DL25" t="n">
        <v>25.6756833333333</v>
      </c>
      <c r="DM25" t="n">
        <v>25.00505</v>
      </c>
      <c r="DN25" t="n">
        <v>999.9</v>
      </c>
      <c r="DO25" t="n">
        <v>0</v>
      </c>
      <c r="DP25" t="n">
        <v>0</v>
      </c>
      <c r="DQ25" t="n">
        <v>9989.67</v>
      </c>
      <c r="DR25" t="n">
        <v>0</v>
      </c>
      <c r="DS25" t="n">
        <v>6.45775833333333</v>
      </c>
      <c r="DT25" t="n">
        <v>0.0199999</v>
      </c>
      <c r="DU25" t="n">
        <v>0</v>
      </c>
      <c r="DV25" t="n">
        <v>0</v>
      </c>
      <c r="DW25" t="n">
        <v>0</v>
      </c>
      <c r="DX25" t="n">
        <v>167.166666666667</v>
      </c>
      <c r="DY25" t="n">
        <v>0.0199999</v>
      </c>
      <c r="DZ25" t="n">
        <v>-11.3625</v>
      </c>
      <c r="EA25" t="n">
        <v>3.12083333333333</v>
      </c>
      <c r="EB25" t="n">
        <v>35.375</v>
      </c>
      <c r="EC25" t="n">
        <v>39.458</v>
      </c>
      <c r="ED25" t="n">
        <v>37.4685</v>
      </c>
      <c r="EE25" t="n">
        <v>39.5623333333333</v>
      </c>
      <c r="EF25" t="n">
        <v>37.8016666666667</v>
      </c>
      <c r="EG25" t="n">
        <v>0</v>
      </c>
      <c r="EH25" t="n">
        <v>0</v>
      </c>
      <c r="EI25" t="n">
        <v>0</v>
      </c>
      <c r="EJ25" t="n">
        <v>156.700000047684</v>
      </c>
      <c r="EK25" t="n">
        <v>0</v>
      </c>
      <c r="EL25" t="n">
        <v>170.695192307692</v>
      </c>
      <c r="EM25" t="n">
        <v>6.36153812060912</v>
      </c>
      <c r="EN25" t="n">
        <v>12.5837608221134</v>
      </c>
      <c r="EO25" t="n">
        <v>-14.3105769230769</v>
      </c>
      <c r="EP25" t="n">
        <v>15</v>
      </c>
      <c r="EQ25" t="n">
        <v>1792297004.1</v>
      </c>
      <c r="ER25" t="inlineStr">
        <is>
          <t>13:16:44</t>
        </is>
      </c>
      <c r="ES25" t="n">
        <v>1792297003.1</v>
      </c>
      <c r="ET25" t="n">
        <v>1792297004.1</v>
      </c>
      <c r="EU25" t="n">
        <v>40</v>
      </c>
      <c r="EV25" t="n">
        <v>-0.017</v>
      </c>
      <c r="EW25" t="n">
        <v>-0.001</v>
      </c>
      <c r="EX25" t="n">
        <v>-0.275</v>
      </c>
      <c r="EY25" t="n">
        <v>-0.154</v>
      </c>
      <c r="EZ25" t="n">
        <v>400</v>
      </c>
      <c r="FA25" t="n">
        <v>17</v>
      </c>
      <c r="FB25" t="n">
        <v>0.43</v>
      </c>
      <c r="FC25" t="n">
        <v>0.1</v>
      </c>
      <c r="FD25" t="n">
        <v>-1.34590876762412</v>
      </c>
      <c r="FE25" t="n">
        <v>-0.09766608876132279</v>
      </c>
      <c r="FF25" t="n">
        <v>0.107008464737286</v>
      </c>
      <c r="FG25" t="n">
        <v>1</v>
      </c>
      <c r="FH25" t="n">
        <v>0.253752285714286</v>
      </c>
      <c r="FI25" t="n">
        <v>0.0684499480519481</v>
      </c>
      <c r="FJ25" t="n">
        <v>0.0441679352699852</v>
      </c>
      <c r="FK25" t="n">
        <v>1</v>
      </c>
      <c r="FL25" t="n">
        <v>170.356617647059</v>
      </c>
      <c r="FM25" t="n">
        <v>-0.052330205148808</v>
      </c>
      <c r="FN25" t="n">
        <v>7.0105941596596</v>
      </c>
      <c r="FO25" t="n">
        <v>1</v>
      </c>
      <c r="FP25" t="n">
        <v>3</v>
      </c>
      <c r="FQ25" t="n">
        <v>3</v>
      </c>
      <c r="FR25" t="inlineStr">
        <is>
          <t>3/3</t>
        </is>
      </c>
      <c r="FS25" t="n">
        <v>100</v>
      </c>
      <c r="FT25" t="n">
        <v>100</v>
      </c>
      <c r="FU25" t="n">
        <v>-0.275</v>
      </c>
      <c r="FV25" t="n">
        <v>-0.1422</v>
      </c>
      <c r="FW25" t="n">
        <v>-0.34983858605542</v>
      </c>
      <c r="FX25" t="n">
        <v>-6.16732984266029e-05</v>
      </c>
      <c r="FY25" t="n">
        <v>6.19398071816742e-07</v>
      </c>
      <c r="FZ25" t="n">
        <v>3.19222985850634e-12</v>
      </c>
      <c r="GA25" t="n">
        <v>-0.0709678192445401</v>
      </c>
      <c r="GB25" t="n">
        <v>-0.0257783215012692</v>
      </c>
      <c r="GC25" t="n">
        <v>0.00133723821780375</v>
      </c>
      <c r="GD25" t="n">
        <v>-7.42160749481374e-06</v>
      </c>
      <c r="GE25" t="n">
        <v>7</v>
      </c>
      <c r="GF25" t="n">
        <v>2154</v>
      </c>
      <c r="GG25" t="n">
        <v>2</v>
      </c>
      <c r="GH25" t="n">
        <v>20</v>
      </c>
      <c r="GI25" t="n">
        <v>1.4</v>
      </c>
      <c r="GJ25" t="n">
        <v>1.4</v>
      </c>
      <c r="GK25" t="n">
        <v>1.03882</v>
      </c>
      <c r="GL25" t="n">
        <v>2.66724</v>
      </c>
      <c r="GM25" t="n">
        <v>1.65161</v>
      </c>
      <c r="GN25" t="n">
        <v>2.27417</v>
      </c>
      <c r="GO25" t="n">
        <v>1.5979</v>
      </c>
      <c r="GP25" t="n">
        <v>2.44995</v>
      </c>
      <c r="GQ25" t="n">
        <v>37.7228</v>
      </c>
      <c r="GR25" t="n">
        <v>23.7898</v>
      </c>
      <c r="GS25" t="n">
        <v>18</v>
      </c>
      <c r="GT25" t="n">
        <v>504.646</v>
      </c>
      <c r="GU25" t="n">
        <v>521.721</v>
      </c>
      <c r="GV25" t="n">
        <v>23.5616</v>
      </c>
      <c r="GW25" t="n">
        <v>29.7257</v>
      </c>
      <c r="GX25" t="n">
        <v>30.0001</v>
      </c>
      <c r="GY25" t="n">
        <v>29.8795</v>
      </c>
      <c r="GZ25" t="n">
        <v>29.9361</v>
      </c>
      <c r="HA25" t="n">
        <v>20.7907</v>
      </c>
      <c r="HB25" t="n">
        <v>21.7844</v>
      </c>
      <c r="HC25" t="n">
        <v>23.9373</v>
      </c>
      <c r="HD25" t="n">
        <v>23.5614</v>
      </c>
      <c r="HE25" t="n">
        <v>399.728</v>
      </c>
      <c r="HF25" t="n">
        <v>17.2785</v>
      </c>
      <c r="HG25" t="n">
        <v>97.9999</v>
      </c>
      <c r="HH25" t="n">
        <v>94.49939999999999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12:37:32</t>
        </is>
      </c>
    </row>
    <row r="2">
      <c r="A2" t="inlineStr">
        <is>
          <t>Console s/n</t>
        </is>
      </c>
      <c r="B2" t="inlineStr">
        <is>
          <t>68C-812153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68H-982143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{"h2oaspan2b": "0.0986302", "co2bspanconc2": "1516", "h2oaspan2": "0", "h2obspanconc2": "0", "co2bspanconc1": "437.6", "h2oaspanconc2": "0", "h2obspan1": "1.01044", "ssa_ref": "37830.5", "co2aspan2a": "0.106022", "flowazero": "0.276", "tazero": "0.15448", "h2oazero": "1.03097", "co2bspan2": "-0.00857283", "h2oaspan1": "1.02308", "h2obspan2b": "0.0971974", "h2obspan2a": "0.0961931", "h2obspan2": "0", "chamberpressurezero": "2.71033", "ssb_ref": "36242.9", "co2bzero": "0.953041", "co2azero": "0.931334", "h2obzero": "1.01897", "flowbzero": "0.30473", "co2aspan1": "1.00082", "h2oaspanconc1": "17.96", "co2aspanconc1": "437.6", "co2bspan1": "1.00005", "co2aspan2b": "0.105998", "co2aspan2": "-0.00988168", "h2obspanconc1": "17.96", "co2bspan2a": "0.105708", "tbzero": "0.143742", "oxygen": "21", "h2oaspan2a": "0.0964052", "co2bspan2b": "0.105618", "flowmeterzero": "2.483", "co2aspanconc2": "1516"}</t>
        </is>
      </c>
    </row>
    <row r="8">
      <c r="A8" t="inlineStr">
        <is>
          <t>Factory cal date</t>
        </is>
      </c>
      <c r="B8" t="inlineStr">
        <is>
          <t>14 Dec 2023</t>
        </is>
      </c>
    </row>
    <row r="9">
      <c r="A9" t="inlineStr">
        <is>
          <t>CO2 rangematch</t>
        </is>
      </c>
      <c r="B9" t="inlineStr">
        <is>
          <t>Fri Oct 16 09:42</t>
        </is>
      </c>
    </row>
    <row r="10">
      <c r="A10" t="inlineStr">
        <is>
          <t>H2O rangematch</t>
        </is>
      </c>
      <c r="B10" t="inlineStr">
        <is>
          <t>Fri Oct 16 09:48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MPF-742752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MPF-742752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12:37:32</t>
        </is>
      </c>
      <c r="B17" t="inlineStr">
        <is>
          <t>Stability Definition:	F (FlrLS): Slp&lt;1 Per=20	A (GasEx): Slp&lt;0.6 Per=20	ΔCO2 (Meas2): Slp&lt;0.5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Qmax_d</t>
        </is>
      </c>
      <c r="V1" t="inlineStr">
        <is>
          <t>Fo</t>
        </is>
      </c>
      <c r="W1" t="inlineStr">
        <is>
          <t>Fm</t>
        </is>
      </c>
      <c r="X1" t="inlineStr">
        <is>
          <t>A_dark</t>
        </is>
      </c>
      <c r="Y1" t="inlineStr">
        <is>
          <t>Fs</t>
        </is>
      </c>
      <c r="Z1" t="inlineStr">
        <is>
          <t>Fm'</t>
        </is>
      </c>
      <c r="AA1" t="inlineStr">
        <is>
          <t>PS2/1</t>
        </is>
      </c>
      <c r="AB1" t="inlineStr">
        <is>
          <t>ID</t>
        </is>
      </c>
      <c r="AC1" t="inlineStr">
        <is>
          <t>P1_dur</t>
        </is>
      </c>
      <c r="AD1" t="inlineStr">
        <is>
          <t>P1_Fmax</t>
        </is>
      </c>
      <c r="AE1" t="inlineStr">
        <is>
          <t>T@P1_Fmax</t>
        </is>
      </c>
      <c r="AF1" t="inlineStr">
        <is>
          <t>Q@P1_Fmax</t>
        </is>
      </c>
      <c r="AG1" t="inlineStr">
        <is>
          <t>P1_PredF</t>
        </is>
      </c>
      <c r="AH1" t="inlineStr">
        <is>
          <t>P1_ΔF</t>
        </is>
      </c>
      <c r="AI1" t="inlineStr">
        <is>
          <t>P2_dur</t>
        </is>
      </c>
      <c r="AJ1" t="inlineStr">
        <is>
          <t>P2_ramp</t>
        </is>
      </c>
      <c r="AK1" t="inlineStr">
        <is>
          <t>P2_int</t>
        </is>
      </c>
      <c r="AL1" t="inlineStr">
        <is>
          <t>P2_int_se</t>
        </is>
      </c>
      <c r="AM1" t="inlineStr">
        <is>
          <t>P2_slp</t>
        </is>
      </c>
      <c r="AN1" t="inlineStr">
        <is>
          <t>P2_slp_se</t>
        </is>
      </c>
      <c r="AO1" t="inlineStr">
        <is>
          <t>P2_R2</t>
        </is>
      </c>
      <c r="AP1" t="inlineStr">
        <is>
          <t>P2_dQdt</t>
        </is>
      </c>
      <c r="AQ1" t="inlineStr">
        <is>
          <t>P3_dur</t>
        </is>
      </c>
      <c r="AR1" t="inlineStr">
        <is>
          <t>P3_Fmax</t>
        </is>
      </c>
      <c r="AS1" t="inlineStr">
        <is>
          <t>T@P3_Fmax</t>
        </is>
      </c>
      <c r="AT1" t="inlineStr">
        <is>
          <t>Q@P3_Fmax</t>
        </is>
      </c>
      <c r="AU1" t="inlineStr">
        <is>
          <t>P3_PredF</t>
        </is>
      </c>
      <c r="AV1" t="inlineStr">
        <is>
          <t>P3_ΔF</t>
        </is>
      </c>
      <c r="AW1" t="inlineStr">
        <is>
          <t>Qin</t>
        </is>
      </c>
      <c r="AX1" t="inlineStr">
        <is>
          <t>S</t>
        </is>
      </c>
      <c r="AY1" t="inlineStr">
        <is>
          <t>K</t>
        </is>
      </c>
      <c r="AZ1" t="inlineStr">
        <is>
          <t>Custom</t>
        </is>
      </c>
      <c r="BA1" t="inlineStr">
        <is>
          <t>TIME_2</t>
        </is>
      </c>
      <c r="BB1" t="inlineStr">
        <is>
          <t>CO2_s</t>
        </is>
      </c>
      <c r="BC1" t="inlineStr">
        <is>
          <t>CO2_r</t>
        </is>
      </c>
      <c r="BD1" t="inlineStr">
        <is>
          <t>H2O_s</t>
        </is>
      </c>
      <c r="BE1" t="inlineStr">
        <is>
          <t>H2O_r</t>
        </is>
      </c>
      <c r="BF1" t="inlineStr">
        <is>
          <t>CO2_a</t>
        </is>
      </c>
      <c r="BG1" t="inlineStr">
        <is>
          <t>H2O_a</t>
        </is>
      </c>
      <c r="BH1" t="inlineStr">
        <is>
          <t>Flow</t>
        </is>
      </c>
      <c r="BI1" t="inlineStr">
        <is>
          <t>Pa</t>
        </is>
      </c>
      <c r="BJ1" t="inlineStr">
        <is>
          <t>ΔPcham</t>
        </is>
      </c>
      <c r="BK1" t="inlineStr">
        <is>
          <t>Tair</t>
        </is>
      </c>
      <c r="BL1" t="inlineStr">
        <is>
          <t>Tleaf</t>
        </is>
      </c>
      <c r="BM1" t="inlineStr">
        <is>
          <t>Tleaf2</t>
        </is>
      </c>
      <c r="BN1" t="inlineStr">
        <is>
          <t>Fan_speed</t>
        </is>
      </c>
      <c r="BO1" t="inlineStr">
        <is>
          <t>Qamb_out</t>
        </is>
      </c>
      <c r="BP1" t="inlineStr">
        <is>
          <t>Q</t>
        </is>
      </c>
      <c r="BQ1" t="inlineStr">
        <is>
          <t>f_red</t>
        </is>
      </c>
      <c r="BR1" t="inlineStr">
        <is>
          <t>f_blue</t>
        </is>
      </c>
      <c r="BS1" t="inlineStr">
        <is>
          <t>F</t>
        </is>
      </c>
      <c r="BT1" t="inlineStr">
        <is>
          <t>Q_modavg</t>
        </is>
      </c>
      <c r="BU1" t="inlineStr">
        <is>
          <t>F_dc</t>
        </is>
      </c>
      <c r="BV1" t="inlineStr">
        <is>
          <t>Pc</t>
        </is>
      </c>
      <c r="BW1" t="inlineStr">
        <is>
          <t>Tled</t>
        </is>
      </c>
      <c r="BX1" t="inlineStr">
        <is>
          <t>TDigital</t>
        </is>
      </c>
      <c r="BY1" t="inlineStr">
        <is>
          <t>TPreamp</t>
        </is>
      </c>
      <c r="BZ1" t="inlineStr">
        <is>
          <t>TPwrSpy</t>
        </is>
      </c>
      <c r="CA1" t="inlineStr">
        <is>
          <t>TDrive</t>
        </is>
      </c>
      <c r="CB1" t="inlineStr">
        <is>
          <t>Q_red</t>
        </is>
      </c>
      <c r="CC1" t="inlineStr">
        <is>
          <t>Q_blue</t>
        </is>
      </c>
      <c r="CD1" t="inlineStr">
        <is>
          <t>TSPF</t>
        </is>
      </c>
      <c r="CE1" t="inlineStr">
        <is>
          <t>F_avg</t>
        </is>
      </c>
      <c r="CF1" t="inlineStr">
        <is>
          <t>dF/dt</t>
        </is>
      </c>
      <c r="CG1" t="inlineStr">
        <is>
          <t>dF_dc/dt</t>
        </is>
      </c>
      <c r="CH1" t="inlineStr">
        <is>
          <t>F_dc_avg</t>
        </is>
      </c>
      <c r="CI1" t="inlineStr">
        <is>
          <t>period</t>
        </is>
      </c>
      <c r="CJ1" t="inlineStr">
        <is>
          <t>time_2</t>
        </is>
      </c>
      <c r="CK1" t="inlineStr">
        <is>
          <t>co2_t</t>
        </is>
      </c>
      <c r="CL1" t="inlineStr">
        <is>
          <t>h2o_t</t>
        </is>
      </c>
      <c r="CM1" t="inlineStr">
        <is>
          <t>count</t>
        </is>
      </c>
      <c r="CN1" t="inlineStr">
        <is>
          <t>co2_adj</t>
        </is>
      </c>
      <c r="CO1" t="inlineStr">
        <is>
          <t>h2o_adj</t>
        </is>
      </c>
      <c r="CP1" t="inlineStr">
        <is>
          <t>co2_match</t>
        </is>
      </c>
      <c r="CQ1" t="inlineStr">
        <is>
          <t>h2o_match</t>
        </is>
      </c>
      <c r="CR1" t="inlineStr">
        <is>
          <t>co2_at</t>
        </is>
      </c>
      <c r="CS1" t="inlineStr">
        <is>
          <t>h2o_at</t>
        </is>
      </c>
      <c r="CT1" t="inlineStr">
        <is>
          <t>co2_cv</t>
        </is>
      </c>
      <c r="CU1" t="inlineStr">
        <is>
          <t>h2o_cv</t>
        </is>
      </c>
      <c r="CV1" t="inlineStr">
        <is>
          <t>A:MN</t>
        </is>
      </c>
      <c r="CW1" t="inlineStr">
        <is>
          <t>A:SLP</t>
        </is>
      </c>
      <c r="CX1" t="inlineStr">
        <is>
          <t>A:SD</t>
        </is>
      </c>
      <c r="CY1" t="inlineStr">
        <is>
          <t>A:OK</t>
        </is>
      </c>
      <c r="CZ1" t="inlineStr">
        <is>
          <t>ΔCO2:MN</t>
        </is>
      </c>
      <c r="DA1" t="inlineStr">
        <is>
          <t>ΔCO2:SLP</t>
        </is>
      </c>
      <c r="DB1" t="inlineStr">
        <is>
          <t>ΔCO2:SD</t>
        </is>
      </c>
      <c r="DC1" t="inlineStr">
        <is>
          <t>ΔCO2:OK</t>
        </is>
      </c>
      <c r="DD1" t="inlineStr">
        <is>
          <t>F:MN</t>
        </is>
      </c>
      <c r="DE1" t="inlineStr">
        <is>
          <t>F:SLP</t>
        </is>
      </c>
      <c r="DF1" t="inlineStr">
        <is>
          <t>F:SD</t>
        </is>
      </c>
      <c r="DG1" t="inlineStr">
        <is>
          <t>F:OK</t>
        </is>
      </c>
      <c r="DH1" t="inlineStr">
        <is>
          <t>Stable</t>
        </is>
      </c>
      <c r="DI1" t="inlineStr">
        <is>
          <t>Total</t>
        </is>
      </c>
      <c r="DJ1" t="inlineStr">
        <is>
          <t>MatchValveR</t>
        </is>
      </c>
      <c r="DK1" t="inlineStr">
        <is>
          <t>MatchValveS</t>
        </is>
      </c>
      <c r="DL1" t="inlineStr">
        <is>
          <t>MatchCO2</t>
        </is>
      </c>
      <c r="DM1" t="inlineStr">
        <is>
          <t>MatchH2O</t>
        </is>
      </c>
      <c r="DN1" t="inlineStr">
        <is>
          <t>cf_co2_a</t>
        </is>
      </c>
      <c r="DO1" t="inlineStr">
        <is>
          <t>cf_co2_b</t>
        </is>
      </c>
      <c r="DP1" t="inlineStr">
        <is>
          <t>cf_co2_c</t>
        </is>
      </c>
      <c r="DQ1" t="inlineStr">
        <is>
          <t>cf_co2_d</t>
        </is>
      </c>
      <c r="DR1" t="inlineStr">
        <is>
          <t>cf_h2o_a</t>
        </is>
      </c>
      <c r="DS1" t="inlineStr">
        <is>
          <t>cf_h2o_b</t>
        </is>
      </c>
      <c r="DT1" t="inlineStr">
        <is>
          <t>cf_h2o_c</t>
        </is>
      </c>
      <c r="DU1" t="inlineStr">
        <is>
          <t>cf_h2o_d</t>
        </is>
      </c>
      <c r="DV1" t="inlineStr">
        <is>
          <t>co2_fit_low</t>
        </is>
      </c>
      <c r="DW1" t="inlineStr">
        <is>
          <t>co2_fit_high</t>
        </is>
      </c>
      <c r="DX1" t="inlineStr">
        <is>
          <t>h2o_fit_low</t>
        </is>
      </c>
      <c r="DY1" t="inlineStr">
        <is>
          <t>h2o_fit_high</t>
        </is>
      </c>
      <c r="DZ1" t="inlineStr">
        <is>
          <t>co2_elapsed</t>
        </is>
      </c>
      <c r="EA1" t="inlineStr">
        <is>
          <t>h2o_elapsed</t>
        </is>
      </c>
      <c r="EB1" t="inlineStr">
        <is>
          <t>CO2_f</t>
        </is>
      </c>
      <c r="EC1" t="inlineStr">
        <is>
          <t>CO2_f_s</t>
        </is>
      </c>
      <c r="ED1" t="inlineStr">
        <is>
          <t>Pump_f</t>
        </is>
      </c>
      <c r="EE1" t="inlineStr">
        <is>
          <t>Pump_f_s</t>
        </is>
      </c>
      <c r="EF1" t="inlineStr">
        <is>
          <t>Pump_p</t>
        </is>
      </c>
      <c r="EG1" t="inlineStr">
        <is>
          <t>Pump_p_s</t>
        </is>
      </c>
      <c r="EH1" t="inlineStr">
        <is>
          <t>Tboard</t>
        </is>
      </c>
      <c r="EI1" t="inlineStr">
        <is>
          <t>V_system</t>
        </is>
      </c>
      <c r="EJ1" t="inlineStr">
        <is>
          <t>DIAG</t>
        </is>
      </c>
      <c r="EK1" t="inlineStr">
        <is>
          <t>Flow_s</t>
        </is>
      </c>
      <c r="EL1" t="inlineStr">
        <is>
          <t>Flow_r</t>
        </is>
      </c>
      <c r="EM1" t="inlineStr">
        <is>
          <t>Txchg</t>
        </is>
      </c>
      <c r="EN1" t="inlineStr">
        <is>
          <t>Tirga</t>
        </is>
      </c>
      <c r="EO1" t="inlineStr">
        <is>
          <t>Tchopper</t>
        </is>
      </c>
      <c r="EP1" t="inlineStr">
        <is>
          <t>Ts</t>
        </is>
      </c>
      <c r="EQ1" t="inlineStr">
        <is>
          <t>Tr</t>
        </is>
      </c>
      <c r="ER1" t="inlineStr">
        <is>
          <t>CO2_%</t>
        </is>
      </c>
      <c r="ES1" t="inlineStr">
        <is>
          <t>Desiccant_%</t>
        </is>
      </c>
      <c r="ET1" t="inlineStr">
        <is>
          <t>Humidifier_%</t>
        </is>
      </c>
      <c r="EU1" t="inlineStr">
        <is>
          <t>Txchg_sp</t>
        </is>
      </c>
      <c r="EV1" t="inlineStr">
        <is>
          <t>CO2_r_sp</t>
        </is>
      </c>
      <c r="EW1" t="inlineStr">
        <is>
          <t>H2O_r_sp</t>
        </is>
      </c>
      <c r="EX1" t="inlineStr">
        <is>
          <t>SS_s</t>
        </is>
      </c>
      <c r="EY1" t="inlineStr">
        <is>
          <t>SS_r</t>
        </is>
      </c>
    </row>
    <row r="2">
      <c r="A2" t="n">
        <v>1</v>
      </c>
      <c r="B2" t="n">
        <v>1792295862</v>
      </c>
      <c r="C2" t="n">
        <v>0</v>
      </c>
      <c r="D2" t="n">
        <v>5</v>
      </c>
      <c r="E2" t="n">
        <v>1792295859</v>
      </c>
      <c r="F2" t="n">
        <v>0.003540164826616416</v>
      </c>
      <c r="G2" t="n">
        <v>3.540164826616416</v>
      </c>
      <c r="H2" t="n">
        <v>16.32918319514242</v>
      </c>
      <c r="I2" t="n">
        <v>399.994</v>
      </c>
      <c r="J2" t="n">
        <v>283.7514014469034</v>
      </c>
      <c r="K2" t="n">
        <v>0.02866450078924127</v>
      </c>
      <c r="L2" t="n">
        <v>0.04040730114539105</v>
      </c>
      <c r="M2" t="n">
        <v>0.2509050966178326</v>
      </c>
      <c r="N2" t="n">
        <v>3.028189393213706</v>
      </c>
      <c r="O2" t="n">
        <v>0.2399013301936914</v>
      </c>
      <c r="P2" t="n">
        <v>0.1508867585871487</v>
      </c>
      <c r="Q2" t="n">
        <v>3.177361788123778</v>
      </c>
      <c r="R2" t="n">
        <v>54.94184956247046</v>
      </c>
      <c r="S2" t="n">
        <v>1.722793146596003</v>
      </c>
      <c r="T2" t="n">
        <v>3.135666455198487</v>
      </c>
      <c r="U2" t="n">
        <v>8125.4</v>
      </c>
      <c r="V2" t="n">
        <v>230.654807692308</v>
      </c>
      <c r="W2" t="n">
        <v>1050.94976592848</v>
      </c>
      <c r="X2" t="n">
        <v>-2.22481790193981</v>
      </c>
      <c r="Y2" t="n">
        <v>195.292730769231</v>
      </c>
      <c r="Z2" t="n">
        <v>250.214412081156</v>
      </c>
      <c r="AA2" t="n">
        <v>0.5</v>
      </c>
      <c r="AB2" t="n">
        <v>230</v>
      </c>
      <c r="AC2" t="n">
        <v>290</v>
      </c>
      <c r="AD2" t="n">
        <v>238.78</v>
      </c>
      <c r="AE2" t="n">
        <v>75</v>
      </c>
      <c r="AF2" t="n">
        <v>8147.16</v>
      </c>
      <c r="AG2" t="n">
        <v>237.09</v>
      </c>
      <c r="AH2" t="n">
        <v>1.69</v>
      </c>
      <c r="AI2" t="n">
        <v>300</v>
      </c>
      <c r="AJ2" t="n">
        <v>19.1</v>
      </c>
      <c r="AK2" t="n">
        <v>250.214412081156</v>
      </c>
      <c r="AL2" t="n">
        <v>2.52934923981772</v>
      </c>
      <c r="AM2" t="n">
        <v>-10.6905148954449</v>
      </c>
      <c r="AN2" t="n">
        <v>1.88356809743495</v>
      </c>
      <c r="AO2" t="n">
        <v>0.53498609942938</v>
      </c>
      <c r="AP2" t="n">
        <v>-0.00438513993325918</v>
      </c>
      <c r="AQ2" t="n">
        <v>290</v>
      </c>
      <c r="AR2" t="n">
        <v>236.71</v>
      </c>
      <c r="AS2" t="n">
        <v>655</v>
      </c>
      <c r="AT2" t="n">
        <v>8133.6</v>
      </c>
      <c r="AU2" t="n">
        <v>237.07</v>
      </c>
      <c r="AV2" t="n">
        <v>-0.36</v>
      </c>
      <c r="AW2" t="n">
        <v>1499.944</v>
      </c>
      <c r="AX2" t="n">
        <v>2</v>
      </c>
      <c r="AY2" t="n">
        <v>0.5</v>
      </c>
      <c r="AZ2" t="n">
        <v>2</v>
      </c>
      <c r="BA2" t="n">
        <v>1792295859</v>
      </c>
      <c r="BB2" t="n">
        <v>399.994</v>
      </c>
      <c r="BC2" t="n">
        <v>407.0916</v>
      </c>
      <c r="BD2" t="n">
        <v>17.05402</v>
      </c>
      <c r="BE2" t="n">
        <v>15.6622</v>
      </c>
      <c r="BF2" t="n">
        <v>400.1958</v>
      </c>
      <c r="BG2" t="n">
        <v>17.19828</v>
      </c>
      <c r="BH2" t="n">
        <v>500.0346</v>
      </c>
      <c r="BI2" t="n">
        <v>100.9198</v>
      </c>
      <c r="BJ2" t="n">
        <v>0.09996816</v>
      </c>
      <c r="BK2" t="n">
        <v>24.76642</v>
      </c>
      <c r="BL2" t="n">
        <v>24.98778</v>
      </c>
      <c r="BM2" t="n">
        <v>999.9</v>
      </c>
      <c r="BN2" t="n">
        <v>10011.5</v>
      </c>
      <c r="BO2" t="n">
        <v>6.550226</v>
      </c>
      <c r="BP2" t="n">
        <v>1499.944</v>
      </c>
      <c r="BQ2" t="n">
        <v>0.973008</v>
      </c>
      <c r="BR2" t="n">
        <v>0.02699164</v>
      </c>
      <c r="BS2" t="n">
        <v>195.4818</v>
      </c>
      <c r="BT2" t="n">
        <v>4.99999</v>
      </c>
      <c r="BU2" t="n">
        <v>2993.196</v>
      </c>
      <c r="BV2" t="n">
        <v>14882.08</v>
      </c>
      <c r="BW2" t="n">
        <v>36.375</v>
      </c>
      <c r="BX2" t="n">
        <v>37.9622</v>
      </c>
      <c r="BY2" t="n">
        <v>36.937</v>
      </c>
      <c r="BZ2" t="n">
        <v>37.437</v>
      </c>
      <c r="CA2" t="n">
        <v>38</v>
      </c>
      <c r="CB2" t="n">
        <v>1454.594</v>
      </c>
      <c r="CC2" t="n">
        <v>40.35</v>
      </c>
      <c r="CD2" t="n">
        <v>4994.09999990463</v>
      </c>
      <c r="CE2" t="n">
        <v>195.292730769231</v>
      </c>
      <c r="CF2" t="n">
        <v>1.06984614960946</v>
      </c>
      <c r="CG2" t="n">
        <v>5.38735041334637</v>
      </c>
      <c r="CH2" t="n">
        <v>2993.00692307692</v>
      </c>
      <c r="CI2" t="n">
        <v>15</v>
      </c>
      <c r="CJ2" t="n">
        <v>1792295665</v>
      </c>
      <c r="CK2" t="n">
        <v>1792295656</v>
      </c>
      <c r="CL2" t="n">
        <v>1792295665</v>
      </c>
      <c r="CM2" t="n">
        <v>35</v>
      </c>
      <c r="CN2" t="n">
        <v>-0.542</v>
      </c>
      <c r="CO2" t="n">
        <v>0.006</v>
      </c>
      <c r="CP2" t="n">
        <v>-0.199</v>
      </c>
      <c r="CQ2" t="n">
        <v>-0.161</v>
      </c>
      <c r="CR2" t="n">
        <v>406</v>
      </c>
      <c r="CS2" t="n">
        <v>16</v>
      </c>
      <c r="CT2" t="n">
        <v>0.18</v>
      </c>
      <c r="CU2" t="n">
        <v>0.07000000000000001</v>
      </c>
      <c r="CV2" t="n">
        <v>16.2157341214799</v>
      </c>
      <c r="CW2" t="n">
        <v>0.609216036799677</v>
      </c>
      <c r="CX2" t="n">
        <v>0.105517611720295</v>
      </c>
      <c r="CY2" t="n">
        <v>0</v>
      </c>
      <c r="CZ2" t="n">
        <v>-7.056817</v>
      </c>
      <c r="DA2" t="n">
        <v>-0.198841804511277</v>
      </c>
      <c r="DB2" t="n">
        <v>0.0393855106733428</v>
      </c>
      <c r="DC2" t="n">
        <v>1</v>
      </c>
      <c r="DD2" t="n">
        <v>195.326470588235</v>
      </c>
      <c r="DE2" t="n">
        <v>0.0121619604158155</v>
      </c>
      <c r="DF2" t="n">
        <v>0.386782446473019</v>
      </c>
      <c r="DG2" t="n">
        <v>1</v>
      </c>
      <c r="DH2" t="n">
        <v>2</v>
      </c>
      <c r="DI2" t="n">
        <v>3</v>
      </c>
      <c r="DJ2" t="n">
        <v>100</v>
      </c>
      <c r="DK2" t="n">
        <v>100</v>
      </c>
      <c r="DL2" t="n">
        <v>-0.202</v>
      </c>
      <c r="DM2" t="n">
        <v>-0.1442</v>
      </c>
      <c r="DN2" t="n">
        <v>-0.276593718674481</v>
      </c>
      <c r="DO2" t="n">
        <v>-6.16732984266029e-05</v>
      </c>
      <c r="DP2" t="n">
        <v>6.19398071816742e-07</v>
      </c>
      <c r="DQ2" t="n">
        <v>3.19222985850634e-12</v>
      </c>
      <c r="DR2" t="n">
        <v>-0.058707128138678</v>
      </c>
      <c r="DS2" t="n">
        <v>-0.0257783215012692</v>
      </c>
      <c r="DT2" t="n">
        <v>0.00133723821780375</v>
      </c>
      <c r="DU2" t="n">
        <v>-7.42160749481374e-06</v>
      </c>
      <c r="DV2" t="n">
        <v>7</v>
      </c>
      <c r="DW2" t="n">
        <v>2154</v>
      </c>
      <c r="DX2" t="n">
        <v>2</v>
      </c>
      <c r="DY2" t="n">
        <v>20</v>
      </c>
      <c r="DZ2" t="n">
        <v>3.4</v>
      </c>
      <c r="EA2" t="n">
        <v>3.3</v>
      </c>
      <c r="EB2" t="n">
        <v>1.05225</v>
      </c>
      <c r="EC2" t="n">
        <v>2.64771</v>
      </c>
      <c r="ED2" t="n">
        <v>1.65161</v>
      </c>
      <c r="EE2" t="n">
        <v>2.27661</v>
      </c>
      <c r="EF2" t="n">
        <v>1.5979</v>
      </c>
      <c r="EG2" t="n">
        <v>2.65625</v>
      </c>
      <c r="EH2" t="n">
        <v>37.3618</v>
      </c>
      <c r="EI2" t="n">
        <v>23.781</v>
      </c>
      <c r="EJ2" t="n">
        <v>18</v>
      </c>
      <c r="EK2" t="n">
        <v>504.766</v>
      </c>
      <c r="EL2" t="n">
        <v>523.549</v>
      </c>
      <c r="EM2" t="n">
        <v>21.055</v>
      </c>
      <c r="EN2" t="n">
        <v>29.5253</v>
      </c>
      <c r="EO2" t="n">
        <v>30.0002</v>
      </c>
      <c r="EP2" t="n">
        <v>29.7066</v>
      </c>
      <c r="EQ2" t="n">
        <v>29.7672</v>
      </c>
      <c r="ER2" t="n">
        <v>21.0503</v>
      </c>
      <c r="ES2" t="n">
        <v>24.8866</v>
      </c>
      <c r="ET2" t="n">
        <v>18.1945</v>
      </c>
      <c r="EU2" t="n">
        <v>21.0631</v>
      </c>
      <c r="EV2" t="n">
        <v>407.187</v>
      </c>
      <c r="EW2" t="n">
        <v>15.651</v>
      </c>
      <c r="EX2" t="n">
        <v>98.04000000000001</v>
      </c>
      <c r="EY2" t="n">
        <v>94.5419</v>
      </c>
    </row>
    <row r="3">
      <c r="A3" t="n">
        <v>2</v>
      </c>
      <c r="B3" t="n">
        <v>1792296001</v>
      </c>
      <c r="C3" t="n">
        <v>139</v>
      </c>
      <c r="D3" t="n">
        <v>5</v>
      </c>
      <c r="E3" t="n">
        <v>1792295997.5</v>
      </c>
      <c r="F3" t="n">
        <v>0.00340606346164004</v>
      </c>
      <c r="G3" t="n">
        <v>3.40606346164004</v>
      </c>
      <c r="H3" t="n">
        <v>16.31691999998985</v>
      </c>
      <c r="I3" t="n">
        <v>399.955666666667</v>
      </c>
      <c r="J3" t="n">
        <v>281.9788549865643</v>
      </c>
      <c r="K3" t="n">
        <v>0.02848479926558421</v>
      </c>
      <c r="L3" t="n">
        <v>0.04040252195745583</v>
      </c>
      <c r="M3" t="n">
        <v>0.2461784206616511</v>
      </c>
      <c r="N3" t="n">
        <v>3.028524838074867</v>
      </c>
      <c r="O3" t="n">
        <v>0.2355770414652393</v>
      </c>
      <c r="P3" t="n">
        <v>0.1481500972928449</v>
      </c>
      <c r="Q3" t="n">
        <v>3.178786722463785</v>
      </c>
      <c r="R3" t="n">
        <v>54.98355483268289</v>
      </c>
      <c r="S3" t="n">
        <v>1.753896157612306</v>
      </c>
      <c r="T3" t="n">
        <v>3.189855881362129</v>
      </c>
      <c r="U3" t="n">
        <v>8125.4</v>
      </c>
      <c r="V3" t="n">
        <v>230.654807692308</v>
      </c>
      <c r="W3" t="n">
        <v>1050.94976592848</v>
      </c>
      <c r="X3" t="n">
        <v>-2.22481790193981</v>
      </c>
      <c r="Y3" t="n">
        <v>200.1842</v>
      </c>
      <c r="Z3" t="n">
        <v>283.636225708494</v>
      </c>
      <c r="AA3" t="n">
        <v>0.5</v>
      </c>
      <c r="AB3" t="n">
        <v>231</v>
      </c>
      <c r="AC3" t="n">
        <v>290</v>
      </c>
      <c r="AD3" t="n">
        <v>262.8</v>
      </c>
      <c r="AE3" t="n">
        <v>155</v>
      </c>
      <c r="AF3" t="n">
        <v>8137.69</v>
      </c>
      <c r="AG3" t="n">
        <v>262.09</v>
      </c>
      <c r="AH3" t="n">
        <v>0.71</v>
      </c>
      <c r="AI3" t="n">
        <v>300</v>
      </c>
      <c r="AJ3" t="n">
        <v>19.1</v>
      </c>
      <c r="AK3" t="n">
        <v>283.636225708494</v>
      </c>
      <c r="AL3" t="n">
        <v>3.24851302057161</v>
      </c>
      <c r="AM3" t="n">
        <v>-17.5317443978754</v>
      </c>
      <c r="AN3" t="n">
        <v>2.40677058190771</v>
      </c>
      <c r="AO3" t="n">
        <v>0.654583950711171</v>
      </c>
      <c r="AP3" t="n">
        <v>-0.00458374260289211</v>
      </c>
      <c r="AQ3" t="n">
        <v>290</v>
      </c>
      <c r="AR3" t="n">
        <v>261.12</v>
      </c>
      <c r="AS3" t="n">
        <v>625</v>
      </c>
      <c r="AT3" t="n">
        <v>8128.76</v>
      </c>
      <c r="AU3" t="n">
        <v>262.07</v>
      </c>
      <c r="AV3" t="n">
        <v>-0.95</v>
      </c>
      <c r="AW3" t="n">
        <v>1199.995</v>
      </c>
      <c r="AX3" t="n">
        <v>2</v>
      </c>
      <c r="AY3" t="n">
        <v>0.5</v>
      </c>
      <c r="AZ3" t="n">
        <v>2</v>
      </c>
      <c r="BA3" t="n">
        <v>1792295997.5</v>
      </c>
      <c r="BB3" t="n">
        <v>399.955666666667</v>
      </c>
      <c r="BC3" t="n">
        <v>407.0275</v>
      </c>
      <c r="BD3" t="n">
        <v>17.3623</v>
      </c>
      <c r="BE3" t="n">
        <v>16.0235</v>
      </c>
      <c r="BF3" t="n">
        <v>400.1575</v>
      </c>
      <c r="BG3" t="n">
        <v>17.5023666666667</v>
      </c>
      <c r="BH3" t="n">
        <v>499.989</v>
      </c>
      <c r="BI3" t="n">
        <v>100.917666666667</v>
      </c>
      <c r="BJ3" t="n">
        <v>0.0998343333333333</v>
      </c>
      <c r="BK3" t="n">
        <v>25.0536166666667</v>
      </c>
      <c r="BL3" t="n">
        <v>24.9953</v>
      </c>
      <c r="BM3" t="n">
        <v>999.9</v>
      </c>
      <c r="BN3" t="n">
        <v>10013.7416666667</v>
      </c>
      <c r="BO3" t="n">
        <v>7.17137</v>
      </c>
      <c r="BP3" t="n">
        <v>1199.995</v>
      </c>
      <c r="BQ3" t="n">
        <v>0.96699</v>
      </c>
      <c r="BR3" t="n">
        <v>0.0330102666666667</v>
      </c>
      <c r="BS3" t="n">
        <v>200.0975</v>
      </c>
      <c r="BT3" t="n">
        <v>4.99999</v>
      </c>
      <c r="BU3" t="n">
        <v>2461.46166666667</v>
      </c>
      <c r="BV3" t="n">
        <v>11872.5833333333</v>
      </c>
      <c r="BW3" t="n">
        <v>37.4163333333333</v>
      </c>
      <c r="BX3" t="n">
        <v>40.0101666666667</v>
      </c>
      <c r="BY3" t="n">
        <v>38.281</v>
      </c>
      <c r="BZ3" t="n">
        <v>40.0935</v>
      </c>
      <c r="CA3" t="n">
        <v>39.6143333333333</v>
      </c>
      <c r="CB3" t="n">
        <v>1155.545</v>
      </c>
      <c r="CC3" t="n">
        <v>39.45</v>
      </c>
      <c r="CD3" t="n">
        <v>137.899999856949</v>
      </c>
      <c r="CE3" t="n">
        <v>200.1842</v>
      </c>
      <c r="CF3" t="n">
        <v>0.46146155152991</v>
      </c>
      <c r="CG3" t="n">
        <v>19.0230769544469</v>
      </c>
      <c r="CH3" t="n">
        <v>2460.0824</v>
      </c>
      <c r="CI3" t="n">
        <v>15</v>
      </c>
      <c r="CJ3" t="n">
        <v>1792295665</v>
      </c>
      <c r="CK3" t="n">
        <v>1792295656</v>
      </c>
      <c r="CL3" t="n">
        <v>1792295665</v>
      </c>
      <c r="CM3" t="n">
        <v>35</v>
      </c>
      <c r="CN3" t="n">
        <v>-0.542</v>
      </c>
      <c r="CO3" t="n">
        <v>0.006</v>
      </c>
      <c r="CP3" t="n">
        <v>-0.199</v>
      </c>
      <c r="CQ3" t="n">
        <v>-0.161</v>
      </c>
      <c r="CR3" t="n">
        <v>406</v>
      </c>
      <c r="CS3" t="n">
        <v>16</v>
      </c>
      <c r="CT3" t="n">
        <v>0.18</v>
      </c>
      <c r="CU3" t="n">
        <v>0.07000000000000001</v>
      </c>
      <c r="CV3" t="n">
        <v>16.1362113481528</v>
      </c>
      <c r="CW3" t="n">
        <v>0.593903661613463</v>
      </c>
      <c r="CX3" t="n">
        <v>0.155011044492142</v>
      </c>
      <c r="CY3" t="n">
        <v>1</v>
      </c>
      <c r="CZ3" t="n">
        <v>-6.9933975</v>
      </c>
      <c r="DA3" t="n">
        <v>-0.371877744360904</v>
      </c>
      <c r="DB3" t="n">
        <v>0.06814388988566759</v>
      </c>
      <c r="DC3" t="n">
        <v>1</v>
      </c>
      <c r="DD3" t="n">
        <v>200.133117647059</v>
      </c>
      <c r="DE3" t="n">
        <v>0.8078227727476061</v>
      </c>
      <c r="DF3" t="n">
        <v>0.375269453366191</v>
      </c>
      <c r="DG3" t="n">
        <v>1</v>
      </c>
      <c r="DH3" t="n">
        <v>3</v>
      </c>
      <c r="DI3" t="n">
        <v>3</v>
      </c>
      <c r="DJ3" t="n">
        <v>100</v>
      </c>
      <c r="DK3" t="n">
        <v>100</v>
      </c>
      <c r="DL3" t="n">
        <v>-0.202</v>
      </c>
      <c r="DM3" t="n">
        <v>-0.1399</v>
      </c>
      <c r="DN3" t="n">
        <v>-0.276593718674481</v>
      </c>
      <c r="DO3" t="n">
        <v>-6.16732984266029e-05</v>
      </c>
      <c r="DP3" t="n">
        <v>6.19398071816742e-07</v>
      </c>
      <c r="DQ3" t="n">
        <v>3.19222985850634e-12</v>
      </c>
      <c r="DR3" t="n">
        <v>-0.058707128138678</v>
      </c>
      <c r="DS3" t="n">
        <v>-0.0257783215012692</v>
      </c>
      <c r="DT3" t="n">
        <v>0.00133723821780375</v>
      </c>
      <c r="DU3" t="n">
        <v>-7.42160749481374e-06</v>
      </c>
      <c r="DV3" t="n">
        <v>7</v>
      </c>
      <c r="DW3" t="n">
        <v>2154</v>
      </c>
      <c r="DX3" t="n">
        <v>2</v>
      </c>
      <c r="DY3" t="n">
        <v>20</v>
      </c>
      <c r="DZ3" t="n">
        <v>5.8</v>
      </c>
      <c r="EA3" t="n">
        <v>5.6</v>
      </c>
      <c r="EB3" t="n">
        <v>1.05225</v>
      </c>
      <c r="EC3" t="n">
        <v>2.65137</v>
      </c>
      <c r="ED3" t="n">
        <v>1.65161</v>
      </c>
      <c r="EE3" t="n">
        <v>2.27661</v>
      </c>
      <c r="EF3" t="n">
        <v>1.5979</v>
      </c>
      <c r="EG3" t="n">
        <v>2.63794</v>
      </c>
      <c r="EH3" t="n">
        <v>37.4338</v>
      </c>
      <c r="EI3" t="n">
        <v>23.7986</v>
      </c>
      <c r="EJ3" t="n">
        <v>18</v>
      </c>
      <c r="EK3" t="n">
        <v>504.7</v>
      </c>
      <c r="EL3" t="n">
        <v>523.741</v>
      </c>
      <c r="EM3" t="n">
        <v>22.0155</v>
      </c>
      <c r="EN3" t="n">
        <v>29.5349</v>
      </c>
      <c r="EO3" t="n">
        <v>29.9997</v>
      </c>
      <c r="EP3" t="n">
        <v>29.7193</v>
      </c>
      <c r="EQ3" t="n">
        <v>29.7799</v>
      </c>
      <c r="ER3" t="n">
        <v>21.052</v>
      </c>
      <c r="ES3" t="n">
        <v>22.8861</v>
      </c>
      <c r="ET3" t="n">
        <v>17.8236</v>
      </c>
      <c r="EU3" t="n">
        <v>22.0289</v>
      </c>
      <c r="EV3" t="n">
        <v>406.966</v>
      </c>
      <c r="EW3" t="n">
        <v>16.0099</v>
      </c>
      <c r="EX3" t="n">
        <v>98.0391</v>
      </c>
      <c r="EY3" t="n">
        <v>94.5355</v>
      </c>
    </row>
    <row r="4">
      <c r="A4" t="n">
        <v>3</v>
      </c>
      <c r="B4" t="n">
        <v>1792296161</v>
      </c>
      <c r="C4" t="n">
        <v>299</v>
      </c>
      <c r="D4" t="n">
        <v>5</v>
      </c>
      <c r="E4" t="n">
        <v>1792296158</v>
      </c>
      <c r="F4" t="n">
        <v>0.003408749965641206</v>
      </c>
      <c r="G4" t="n">
        <v>3.408749965641206</v>
      </c>
      <c r="H4" t="n">
        <v>15.43928871029322</v>
      </c>
      <c r="I4" t="n">
        <v>399.9918</v>
      </c>
      <c r="J4" t="n">
        <v>290.0749957077998</v>
      </c>
      <c r="K4" t="n">
        <v>0.02930221239574765</v>
      </c>
      <c r="L4" t="n">
        <v>0.04040556702089529</v>
      </c>
      <c r="M4" t="n">
        <v>0.2513873675657959</v>
      </c>
      <c r="N4" t="n">
        <v>3.027014525852448</v>
      </c>
      <c r="O4" t="n">
        <v>0.2403381757439814</v>
      </c>
      <c r="P4" t="n">
        <v>0.1511636132470039</v>
      </c>
      <c r="Q4" t="n">
        <v>3.187313867162187</v>
      </c>
      <c r="R4" t="n">
        <v>54.93028635919295</v>
      </c>
      <c r="S4" t="n">
        <v>1.789886135547079</v>
      </c>
      <c r="T4" t="n">
        <v>3.258468604810996</v>
      </c>
      <c r="U4" t="n">
        <v>8125.4</v>
      </c>
      <c r="V4" t="n">
        <v>230.654807692308</v>
      </c>
      <c r="W4" t="n">
        <v>1050.94976592848</v>
      </c>
      <c r="X4" t="n">
        <v>-2.22481790193981</v>
      </c>
      <c r="Y4" t="n">
        <v>211.99172</v>
      </c>
      <c r="Z4" t="n">
        <v>345.089670520163</v>
      </c>
      <c r="AA4" t="n">
        <v>0.5</v>
      </c>
      <c r="AB4" t="n">
        <v>232</v>
      </c>
      <c r="AC4" t="n">
        <v>290</v>
      </c>
      <c r="AD4" t="n">
        <v>315.69</v>
      </c>
      <c r="AE4" t="n">
        <v>245</v>
      </c>
      <c r="AF4" t="n">
        <v>8137.24</v>
      </c>
      <c r="AG4" t="n">
        <v>315.01</v>
      </c>
      <c r="AH4" t="n">
        <v>0.68</v>
      </c>
      <c r="AI4" t="n">
        <v>300</v>
      </c>
      <c r="AJ4" t="n">
        <v>19.1</v>
      </c>
      <c r="AK4" t="n">
        <v>345.089670520163</v>
      </c>
      <c r="AL4" t="n">
        <v>2.5824868262645</v>
      </c>
      <c r="AM4" t="n">
        <v>-24.4783284181433</v>
      </c>
      <c r="AN4" t="n">
        <v>1.90557741077885</v>
      </c>
      <c r="AO4" t="n">
        <v>0.854929813067685</v>
      </c>
      <c r="AP4" t="n">
        <v>-0.00478482358175751</v>
      </c>
      <c r="AQ4" t="n">
        <v>290</v>
      </c>
      <c r="AR4" t="n">
        <v>312.12</v>
      </c>
      <c r="AS4" t="n">
        <v>615</v>
      </c>
      <c r="AT4" t="n">
        <v>8132.2</v>
      </c>
      <c r="AU4" t="n">
        <v>314.99</v>
      </c>
      <c r="AV4" t="n">
        <v>-2.87</v>
      </c>
      <c r="AW4" t="n">
        <v>899.958</v>
      </c>
      <c r="AX4" t="n">
        <v>2</v>
      </c>
      <c r="AY4" t="n">
        <v>0.5</v>
      </c>
      <c r="AZ4" t="n">
        <v>2</v>
      </c>
      <c r="BA4" t="n">
        <v>1792296158</v>
      </c>
      <c r="BB4" t="n">
        <v>399.9918</v>
      </c>
      <c r="BC4" t="n">
        <v>406.7122</v>
      </c>
      <c r="BD4" t="n">
        <v>17.71884</v>
      </c>
      <c r="BE4" t="n">
        <v>16.37964</v>
      </c>
      <c r="BF4" t="n">
        <v>400.1938</v>
      </c>
      <c r="BG4" t="n">
        <v>17.8538</v>
      </c>
      <c r="BH4" t="n">
        <v>500.0524</v>
      </c>
      <c r="BI4" t="n">
        <v>100.916</v>
      </c>
      <c r="BJ4" t="n">
        <v>0.09998838</v>
      </c>
      <c r="BK4" t="n">
        <v>25.4112</v>
      </c>
      <c r="BL4" t="n">
        <v>25.04024</v>
      </c>
      <c r="BM4" t="n">
        <v>999.9</v>
      </c>
      <c r="BN4" t="n">
        <v>10004.77</v>
      </c>
      <c r="BO4" t="n">
        <v>7.223032</v>
      </c>
      <c r="BP4" t="n">
        <v>899.958</v>
      </c>
      <c r="BQ4" t="n">
        <v>0.955985</v>
      </c>
      <c r="BR4" t="n">
        <v>0.044015</v>
      </c>
      <c r="BS4" t="n">
        <v>212.0714</v>
      </c>
      <c r="BT4" t="n">
        <v>4.99999</v>
      </c>
      <c r="BU4" t="n">
        <v>1948.748</v>
      </c>
      <c r="BV4" t="n">
        <v>8859.42</v>
      </c>
      <c r="BW4" t="n">
        <v>37.5872</v>
      </c>
      <c r="BX4" t="n">
        <v>39.687</v>
      </c>
      <c r="BY4" t="n">
        <v>38.6374</v>
      </c>
      <c r="BZ4" t="n">
        <v>39.4748</v>
      </c>
      <c r="CA4" t="n">
        <v>39.4874</v>
      </c>
      <c r="CB4" t="n">
        <v>855.566</v>
      </c>
      <c r="CC4" t="n">
        <v>39.39</v>
      </c>
      <c r="CD4" t="n">
        <v>158.900000095367</v>
      </c>
      <c r="CE4" t="n">
        <v>211.99172</v>
      </c>
      <c r="CF4" t="n">
        <v>-0.475461511888391</v>
      </c>
      <c r="CG4" t="n">
        <v>6.98076920019269</v>
      </c>
      <c r="CH4" t="n">
        <v>1948.2264</v>
      </c>
      <c r="CI4" t="n">
        <v>15</v>
      </c>
      <c r="CJ4" t="n">
        <v>1792295665</v>
      </c>
      <c r="CK4" t="n">
        <v>1792295656</v>
      </c>
      <c r="CL4" t="n">
        <v>1792295665</v>
      </c>
      <c r="CM4" t="n">
        <v>35</v>
      </c>
      <c r="CN4" t="n">
        <v>-0.542</v>
      </c>
      <c r="CO4" t="n">
        <v>0.006</v>
      </c>
      <c r="CP4" t="n">
        <v>-0.199</v>
      </c>
      <c r="CQ4" t="n">
        <v>-0.161</v>
      </c>
      <c r="CR4" t="n">
        <v>406</v>
      </c>
      <c r="CS4" t="n">
        <v>16</v>
      </c>
      <c r="CT4" t="n">
        <v>0.18</v>
      </c>
      <c r="CU4" t="n">
        <v>0.07000000000000001</v>
      </c>
      <c r="CV4" t="n">
        <v>15.4610694883075</v>
      </c>
      <c r="CW4" t="n">
        <v>-0.0292973229431273</v>
      </c>
      <c r="CX4" t="n">
        <v>0.118322530688073</v>
      </c>
      <c r="CY4" t="n">
        <v>1</v>
      </c>
      <c r="CZ4" t="n">
        <v>-6.730141</v>
      </c>
      <c r="DA4" t="n">
        <v>0.0377918796992504</v>
      </c>
      <c r="DB4" t="n">
        <v>0.0482494641317393</v>
      </c>
      <c r="DC4" t="n">
        <v>1</v>
      </c>
      <c r="DD4" t="n">
        <v>211.974852941176</v>
      </c>
      <c r="DE4" t="n">
        <v>0.575080222275795</v>
      </c>
      <c r="DF4" t="n">
        <v>0.316016393129604</v>
      </c>
      <c r="DG4" t="n">
        <v>1</v>
      </c>
      <c r="DH4" t="n">
        <v>3</v>
      </c>
      <c r="DI4" t="n">
        <v>3</v>
      </c>
      <c r="DJ4" t="n">
        <v>100</v>
      </c>
      <c r="DK4" t="n">
        <v>100</v>
      </c>
      <c r="DL4" t="n">
        <v>-0.202</v>
      </c>
      <c r="DM4" t="n">
        <v>-0.1349</v>
      </c>
      <c r="DN4" t="n">
        <v>-0.276593718674481</v>
      </c>
      <c r="DO4" t="n">
        <v>-6.16732984266029e-05</v>
      </c>
      <c r="DP4" t="n">
        <v>6.19398071816742e-07</v>
      </c>
      <c r="DQ4" t="n">
        <v>3.19222985850634e-12</v>
      </c>
      <c r="DR4" t="n">
        <v>-0.058707128138678</v>
      </c>
      <c r="DS4" t="n">
        <v>-0.0257783215012692</v>
      </c>
      <c r="DT4" t="n">
        <v>0.00133723821780375</v>
      </c>
      <c r="DU4" t="n">
        <v>-7.42160749481374e-06</v>
      </c>
      <c r="DV4" t="n">
        <v>7</v>
      </c>
      <c r="DW4" t="n">
        <v>2154</v>
      </c>
      <c r="DX4" t="n">
        <v>2</v>
      </c>
      <c r="DY4" t="n">
        <v>20</v>
      </c>
      <c r="DZ4" t="n">
        <v>8.4</v>
      </c>
      <c r="EA4" t="n">
        <v>8.300000000000001</v>
      </c>
      <c r="EB4" t="n">
        <v>1.05225</v>
      </c>
      <c r="EC4" t="n">
        <v>2.64526</v>
      </c>
      <c r="ED4" t="n">
        <v>1.65161</v>
      </c>
      <c r="EE4" t="n">
        <v>2.27417</v>
      </c>
      <c r="EF4" t="n">
        <v>1.5979</v>
      </c>
      <c r="EG4" t="n">
        <v>2.62695</v>
      </c>
      <c r="EH4" t="n">
        <v>37.5059</v>
      </c>
      <c r="EI4" t="n">
        <v>23.7898</v>
      </c>
      <c r="EJ4" t="n">
        <v>18</v>
      </c>
      <c r="EK4" t="n">
        <v>504.588</v>
      </c>
      <c r="EL4" t="n">
        <v>523.972</v>
      </c>
      <c r="EM4" t="n">
        <v>22.3322</v>
      </c>
      <c r="EN4" t="n">
        <v>29.5521</v>
      </c>
      <c r="EO4" t="n">
        <v>30</v>
      </c>
      <c r="EP4" t="n">
        <v>29.732</v>
      </c>
      <c r="EQ4" t="n">
        <v>29.7931</v>
      </c>
      <c r="ER4" t="n">
        <v>21.0549</v>
      </c>
      <c r="ES4" t="n">
        <v>21.4361</v>
      </c>
      <c r="ET4" t="n">
        <v>17.8236</v>
      </c>
      <c r="EU4" t="n">
        <v>22.2913</v>
      </c>
      <c r="EV4" t="n">
        <v>406.821</v>
      </c>
      <c r="EW4" t="n">
        <v>16.3424</v>
      </c>
      <c r="EX4" t="n">
        <v>98.03449999999999</v>
      </c>
      <c r="EY4" t="n">
        <v>94.53400000000001</v>
      </c>
    </row>
    <row r="5">
      <c r="A5" t="n">
        <v>4</v>
      </c>
      <c r="B5" t="n">
        <v>1792296344</v>
      </c>
      <c r="C5" t="n">
        <v>482</v>
      </c>
      <c r="D5" t="n">
        <v>5</v>
      </c>
      <c r="E5" t="n">
        <v>1792296340.5</v>
      </c>
      <c r="F5" t="n">
        <v>0.003292265221837674</v>
      </c>
      <c r="G5" t="n">
        <v>3.292265221837674</v>
      </c>
      <c r="H5" t="n">
        <v>13.98835126292213</v>
      </c>
      <c r="I5" t="n">
        <v>400.015333333333</v>
      </c>
      <c r="J5" t="n">
        <v>298.5075589617192</v>
      </c>
      <c r="K5" t="n">
        <v>0.03014984799761083</v>
      </c>
      <c r="L5" t="n">
        <v>0.04040233198335942</v>
      </c>
      <c r="M5" t="n">
        <v>0.2478790249655871</v>
      </c>
      <c r="N5" t="n">
        <v>3.027510499312251</v>
      </c>
      <c r="O5" t="n">
        <v>0.237130674978441</v>
      </c>
      <c r="P5" t="n">
        <v>0.1491335286298593</v>
      </c>
      <c r="Q5" t="n">
        <v>3.181516878714231</v>
      </c>
      <c r="R5" t="n">
        <v>55.14660947146714</v>
      </c>
      <c r="S5" t="n">
        <v>1.813907634540881</v>
      </c>
      <c r="T5" t="n">
        <v>3.289245978901745</v>
      </c>
      <c r="U5" t="n">
        <v>8125.4</v>
      </c>
      <c r="V5" t="n">
        <v>230.654807692308</v>
      </c>
      <c r="W5" t="n">
        <v>1050.94976592848</v>
      </c>
      <c r="X5" t="n">
        <v>-2.22481790193981</v>
      </c>
      <c r="Y5" t="n">
        <v>230.906384615385</v>
      </c>
      <c r="Z5" t="n">
        <v>462.800090199202</v>
      </c>
      <c r="AA5" t="n">
        <v>0.5</v>
      </c>
      <c r="AB5" t="n">
        <v>233</v>
      </c>
      <c r="AC5" t="n">
        <v>290</v>
      </c>
      <c r="AD5" t="n">
        <v>423.24</v>
      </c>
      <c r="AE5" t="n">
        <v>105</v>
      </c>
      <c r="AF5" t="n">
        <v>8150.93</v>
      </c>
      <c r="AG5" t="n">
        <v>422.35</v>
      </c>
      <c r="AH5" t="n">
        <v>0.89</v>
      </c>
      <c r="AI5" t="n">
        <v>300</v>
      </c>
      <c r="AJ5" t="n">
        <v>19.1</v>
      </c>
      <c r="AK5" t="n">
        <v>462.800090199202</v>
      </c>
      <c r="AL5" t="n">
        <v>2.95249281469521</v>
      </c>
      <c r="AM5" t="n">
        <v>-32.9743188256383</v>
      </c>
      <c r="AN5" t="n">
        <v>2.17059247551071</v>
      </c>
      <c r="AO5" t="n">
        <v>0.891799298039991</v>
      </c>
      <c r="AP5" t="n">
        <v>-0.00498954416017798</v>
      </c>
      <c r="AQ5" t="n">
        <v>290</v>
      </c>
      <c r="AR5" t="n">
        <v>417.02</v>
      </c>
      <c r="AS5" t="n">
        <v>625</v>
      </c>
      <c r="AT5" t="n">
        <v>8138.95</v>
      </c>
      <c r="AU5" t="n">
        <v>422.29</v>
      </c>
      <c r="AV5" t="n">
        <v>-5.27</v>
      </c>
      <c r="AW5" t="n">
        <v>599.996166666667</v>
      </c>
      <c r="AX5" t="n">
        <v>2</v>
      </c>
      <c r="AY5" t="n">
        <v>0.5</v>
      </c>
      <c r="AZ5" t="n">
        <v>2</v>
      </c>
      <c r="BA5" t="n">
        <v>1792296340.5</v>
      </c>
      <c r="BB5" t="n">
        <v>400.015333333333</v>
      </c>
      <c r="BC5" t="n">
        <v>406.137666666667</v>
      </c>
      <c r="BD5" t="n">
        <v>17.9591333333333</v>
      </c>
      <c r="BE5" t="n">
        <v>16.6658333333333</v>
      </c>
      <c r="BF5" t="n">
        <v>400.217166666667</v>
      </c>
      <c r="BG5" t="n">
        <v>18.0904833333333</v>
      </c>
      <c r="BH5" t="n">
        <v>499.982833333333</v>
      </c>
      <c r="BI5" t="n">
        <v>100.902166666667</v>
      </c>
      <c r="BJ5" t="n">
        <v>0.09979155000000001</v>
      </c>
      <c r="BK5" t="n">
        <v>25.5694666666667</v>
      </c>
      <c r="BL5" t="n">
        <v>25.0097</v>
      </c>
      <c r="BM5" t="n">
        <v>999.9</v>
      </c>
      <c r="BN5" t="n">
        <v>10009.1416666667</v>
      </c>
      <c r="BO5" t="n">
        <v>7.2843</v>
      </c>
      <c r="BP5" t="n">
        <v>599.996166666667</v>
      </c>
      <c r="BQ5" t="n">
        <v>0.9330035</v>
      </c>
      <c r="BR5" t="n">
        <v>0.0669964</v>
      </c>
      <c r="BS5" t="n">
        <v>230.898666666667</v>
      </c>
      <c r="BT5" t="n">
        <v>4.99999</v>
      </c>
      <c r="BU5" t="n">
        <v>1390.645</v>
      </c>
      <c r="BV5" t="n">
        <v>5845.29833333333</v>
      </c>
      <c r="BW5" t="n">
        <v>36.0725</v>
      </c>
      <c r="BX5" t="n">
        <v>38.5935</v>
      </c>
      <c r="BY5" t="n">
        <v>37.375</v>
      </c>
      <c r="BZ5" t="n">
        <v>38.125</v>
      </c>
      <c r="CA5" t="n">
        <v>38.1766666666667</v>
      </c>
      <c r="CB5" t="n">
        <v>555.135</v>
      </c>
      <c r="CC5" t="n">
        <v>39.865</v>
      </c>
      <c r="CD5" t="n">
        <v>181.700000047684</v>
      </c>
      <c r="CE5" t="n">
        <v>230.906384615385</v>
      </c>
      <c r="CF5" t="n">
        <v>0.695453025861866</v>
      </c>
      <c r="CG5" t="n">
        <v>13.6075213654749</v>
      </c>
      <c r="CH5" t="n">
        <v>1389.65230769231</v>
      </c>
      <c r="CI5" t="n">
        <v>15</v>
      </c>
      <c r="CJ5" t="n">
        <v>1792295665</v>
      </c>
      <c r="CK5" t="n">
        <v>1792295656</v>
      </c>
      <c r="CL5" t="n">
        <v>1792295665</v>
      </c>
      <c r="CM5" t="n">
        <v>35</v>
      </c>
      <c r="CN5" t="n">
        <v>-0.542</v>
      </c>
      <c r="CO5" t="n">
        <v>0.006</v>
      </c>
      <c r="CP5" t="n">
        <v>-0.199</v>
      </c>
      <c r="CQ5" t="n">
        <v>-0.161</v>
      </c>
      <c r="CR5" t="n">
        <v>406</v>
      </c>
      <c r="CS5" t="n">
        <v>16</v>
      </c>
      <c r="CT5" t="n">
        <v>0.18</v>
      </c>
      <c r="CU5" t="n">
        <v>0.07000000000000001</v>
      </c>
      <c r="CV5" t="n">
        <v>14.0331052216735</v>
      </c>
      <c r="CW5" t="n">
        <v>0.5197388514658</v>
      </c>
      <c r="CX5" t="n">
        <v>0.108913447974002</v>
      </c>
      <c r="CY5" t="n">
        <v>1</v>
      </c>
      <c r="CZ5" t="n">
        <v>-6.13827333333333</v>
      </c>
      <c r="DA5" t="n">
        <v>-0.154400259740264</v>
      </c>
      <c r="DB5" t="n">
        <v>0.0425269667201024</v>
      </c>
      <c r="DC5" t="n">
        <v>1</v>
      </c>
      <c r="DD5" t="n">
        <v>230.761529411765</v>
      </c>
      <c r="DE5" t="n">
        <v>2.64999237032155</v>
      </c>
      <c r="DF5" t="n">
        <v>0.372134560996276</v>
      </c>
      <c r="DG5" t="n">
        <v>0</v>
      </c>
      <c r="DH5" t="n">
        <v>2</v>
      </c>
      <c r="DI5" t="n">
        <v>3</v>
      </c>
      <c r="DJ5" t="n">
        <v>100</v>
      </c>
      <c r="DK5" t="n">
        <v>100</v>
      </c>
      <c r="DL5" t="n">
        <v>-0.202</v>
      </c>
      <c r="DM5" t="n">
        <v>-0.1313</v>
      </c>
      <c r="DN5" t="n">
        <v>-0.276593718674481</v>
      </c>
      <c r="DO5" t="n">
        <v>-6.16732984266029e-05</v>
      </c>
      <c r="DP5" t="n">
        <v>6.19398071816742e-07</v>
      </c>
      <c r="DQ5" t="n">
        <v>3.19222985850634e-12</v>
      </c>
      <c r="DR5" t="n">
        <v>-0.058707128138678</v>
      </c>
      <c r="DS5" t="n">
        <v>-0.0257783215012692</v>
      </c>
      <c r="DT5" t="n">
        <v>0.00133723821780375</v>
      </c>
      <c r="DU5" t="n">
        <v>-7.42160749481374e-06</v>
      </c>
      <c r="DV5" t="n">
        <v>7</v>
      </c>
      <c r="DW5" t="n">
        <v>2154</v>
      </c>
      <c r="DX5" t="n">
        <v>2</v>
      </c>
      <c r="DY5" t="n">
        <v>20</v>
      </c>
      <c r="DZ5" t="n">
        <v>11.5</v>
      </c>
      <c r="EA5" t="n">
        <v>11.3</v>
      </c>
      <c r="EB5" t="n">
        <v>1.05103</v>
      </c>
      <c r="EC5" t="n">
        <v>2.65015</v>
      </c>
      <c r="ED5" t="n">
        <v>1.65161</v>
      </c>
      <c r="EE5" t="n">
        <v>2.27539</v>
      </c>
      <c r="EF5" t="n">
        <v>1.5979</v>
      </c>
      <c r="EG5" t="n">
        <v>2.59277</v>
      </c>
      <c r="EH5" t="n">
        <v>37.554</v>
      </c>
      <c r="EI5" t="n">
        <v>23.7986</v>
      </c>
      <c r="EJ5" t="n">
        <v>18</v>
      </c>
      <c r="EK5" t="n">
        <v>504.709</v>
      </c>
      <c r="EL5" t="n">
        <v>523.485</v>
      </c>
      <c r="EM5" t="n">
        <v>23.0365</v>
      </c>
      <c r="EN5" t="n">
        <v>29.5826</v>
      </c>
      <c r="EO5" t="n">
        <v>30.0002</v>
      </c>
      <c r="EP5" t="n">
        <v>29.7549</v>
      </c>
      <c r="EQ5" t="n">
        <v>29.8148</v>
      </c>
      <c r="ER5" t="n">
        <v>21.0376</v>
      </c>
      <c r="ES5" t="n">
        <v>20.4795</v>
      </c>
      <c r="ET5" t="n">
        <v>18.1941</v>
      </c>
      <c r="EU5" t="n">
        <v>23.0306</v>
      </c>
      <c r="EV5" t="n">
        <v>406.169</v>
      </c>
      <c r="EW5" t="n">
        <v>16.6098</v>
      </c>
      <c r="EX5" t="n">
        <v>98.02849999999999</v>
      </c>
      <c r="EY5" t="n">
        <v>94.5219</v>
      </c>
    </row>
    <row r="6">
      <c r="A6" t="n">
        <v>5</v>
      </c>
      <c r="B6" t="n">
        <v>1792296467</v>
      </c>
      <c r="C6" t="n">
        <v>605</v>
      </c>
      <c r="D6" t="n">
        <v>5</v>
      </c>
      <c r="E6" t="n">
        <v>1792296464</v>
      </c>
      <c r="F6" t="n">
        <v>0.003214336276180847</v>
      </c>
      <c r="G6" t="n">
        <v>3.214336276180847</v>
      </c>
      <c r="H6" t="n">
        <v>11.48514773337902</v>
      </c>
      <c r="I6" t="n">
        <v>399.9826</v>
      </c>
      <c r="J6" t="n">
        <v>313.0304928211482</v>
      </c>
      <c r="K6" t="n">
        <v>0.03161727778019566</v>
      </c>
      <c r="L6" t="n">
        <v>0.04039977338140811</v>
      </c>
      <c r="M6" t="n">
        <v>0.2412155796662011</v>
      </c>
      <c r="N6" t="n">
        <v>3.024469002748297</v>
      </c>
      <c r="O6" t="n">
        <v>0.2310147803380583</v>
      </c>
      <c r="P6" t="n">
        <v>0.1452647907913446</v>
      </c>
      <c r="Q6" t="n">
        <v>3.183061081721491</v>
      </c>
      <c r="R6" t="n">
        <v>54.69801927484819</v>
      </c>
      <c r="S6" t="n">
        <v>1.812449035219043</v>
      </c>
      <c r="T6" t="n">
        <v>3.313555151077404</v>
      </c>
      <c r="U6" t="n">
        <v>8125.4</v>
      </c>
      <c r="V6" t="n">
        <v>230.654807692308</v>
      </c>
      <c r="W6" t="n">
        <v>1050.94976592848</v>
      </c>
      <c r="X6" t="n">
        <v>-2.22481790193981</v>
      </c>
      <c r="Y6" t="n">
        <v>231.095961538461</v>
      </c>
      <c r="Z6" t="n">
        <v>551.273594067881</v>
      </c>
      <c r="AA6" t="n">
        <v>0.5</v>
      </c>
      <c r="AB6" t="n">
        <v>234</v>
      </c>
      <c r="AC6" t="n">
        <v>290</v>
      </c>
      <c r="AD6" t="n">
        <v>510.8</v>
      </c>
      <c r="AE6" t="n">
        <v>145</v>
      </c>
      <c r="AF6" t="n">
        <v>8152.01</v>
      </c>
      <c r="AG6" t="n">
        <v>509.39</v>
      </c>
      <c r="AH6" t="n">
        <v>1.41</v>
      </c>
      <c r="AI6" t="n">
        <v>300</v>
      </c>
      <c r="AJ6" t="n">
        <v>19.1</v>
      </c>
      <c r="AK6" t="n">
        <v>551.273594067881</v>
      </c>
      <c r="AL6" t="n">
        <v>3.25411363627127</v>
      </c>
      <c r="AM6" t="n">
        <v>-34.1431152057576</v>
      </c>
      <c r="AN6" t="n">
        <v>2.38608674293588</v>
      </c>
      <c r="AO6" t="n">
        <v>0.879701665608507</v>
      </c>
      <c r="AP6" t="n">
        <v>-0.0051256255839822</v>
      </c>
      <c r="AQ6" t="n">
        <v>290</v>
      </c>
      <c r="AR6" t="n">
        <v>504.87</v>
      </c>
      <c r="AS6" t="n">
        <v>625</v>
      </c>
      <c r="AT6" t="n">
        <v>8142.46</v>
      </c>
      <c r="AU6" t="n">
        <v>509.34</v>
      </c>
      <c r="AV6" t="n">
        <v>-4.47</v>
      </c>
      <c r="AW6" t="n">
        <v>399.9304</v>
      </c>
      <c r="AX6" t="n">
        <v>2</v>
      </c>
      <c r="AY6" t="n">
        <v>0.5</v>
      </c>
      <c r="AZ6" t="n">
        <v>2</v>
      </c>
      <c r="BA6" t="n">
        <v>1792296464</v>
      </c>
      <c r="BB6" t="n">
        <v>399.9826</v>
      </c>
      <c r="BC6" t="n">
        <v>405.091</v>
      </c>
      <c r="BD6" t="n">
        <v>17.94436</v>
      </c>
      <c r="BE6" t="n">
        <v>16.68168</v>
      </c>
      <c r="BF6" t="n">
        <v>400.2012</v>
      </c>
      <c r="BG6" t="n">
        <v>18.0827</v>
      </c>
      <c r="BH6" t="n">
        <v>499.9932</v>
      </c>
      <c r="BI6" t="n">
        <v>100.9036</v>
      </c>
      <c r="BJ6" t="n">
        <v>0.10022712</v>
      </c>
      <c r="BK6" t="n">
        <v>25.69356</v>
      </c>
      <c r="BL6" t="n">
        <v>25.01784</v>
      </c>
      <c r="BM6" t="n">
        <v>999.9</v>
      </c>
      <c r="BN6" t="n">
        <v>9990.616</v>
      </c>
      <c r="BO6" t="n">
        <v>7.269902</v>
      </c>
      <c r="BP6" t="n">
        <v>399.9304</v>
      </c>
      <c r="BQ6" t="n">
        <v>0.9000112</v>
      </c>
      <c r="BR6" t="n">
        <v>0.09998868</v>
      </c>
      <c r="BS6" t="n">
        <v>231.0446</v>
      </c>
      <c r="BT6" t="n">
        <v>4.99999</v>
      </c>
      <c r="BU6" t="n">
        <v>912.1352000000001</v>
      </c>
      <c r="BV6" t="n">
        <v>3837.222</v>
      </c>
      <c r="BW6" t="n">
        <v>35.2624</v>
      </c>
      <c r="BX6" t="n">
        <v>38.062</v>
      </c>
      <c r="BY6" t="n">
        <v>36.7122</v>
      </c>
      <c r="BZ6" t="n">
        <v>37.687</v>
      </c>
      <c r="CA6" t="n">
        <v>37.5372</v>
      </c>
      <c r="CB6" t="n">
        <v>355.442</v>
      </c>
      <c r="CC6" t="n">
        <v>39.49</v>
      </c>
      <c r="CD6" t="n">
        <v>121.700000047684</v>
      </c>
      <c r="CE6" t="n">
        <v>231.095961538461</v>
      </c>
      <c r="CF6" t="n">
        <v>-0.424512810722293</v>
      </c>
      <c r="CG6" t="n">
        <v>-4.47729915809284</v>
      </c>
      <c r="CH6" t="n">
        <v>912.544423076923</v>
      </c>
      <c r="CI6" t="n">
        <v>15</v>
      </c>
      <c r="CJ6" t="n">
        <v>1792296410</v>
      </c>
      <c r="CK6" t="n">
        <v>1792296410</v>
      </c>
      <c r="CL6" t="n">
        <v>1792296406</v>
      </c>
      <c r="CM6" t="n">
        <v>36</v>
      </c>
      <c r="CN6" t="n">
        <v>-0.017</v>
      </c>
      <c r="CO6" t="n">
        <v>-0.007</v>
      </c>
      <c r="CP6" t="n">
        <v>-0.216</v>
      </c>
      <c r="CQ6" t="n">
        <v>-0.157</v>
      </c>
      <c r="CR6" t="n">
        <v>405</v>
      </c>
      <c r="CS6" t="n">
        <v>17</v>
      </c>
      <c r="CT6" t="n">
        <v>0.21</v>
      </c>
      <c r="CU6" t="n">
        <v>0.03</v>
      </c>
      <c r="CV6" t="n">
        <v>11.4964142936053</v>
      </c>
      <c r="CW6" t="n">
        <v>-0.394124648765099</v>
      </c>
      <c r="CX6" t="n">
        <v>0.156529302746086</v>
      </c>
      <c r="CY6" t="n">
        <v>1</v>
      </c>
      <c r="CZ6" t="n">
        <v>-5.130289</v>
      </c>
      <c r="DA6" t="n">
        <v>0.412872180451131</v>
      </c>
      <c r="DB6" t="n">
        <v>0.0573775598034633</v>
      </c>
      <c r="DC6" t="n">
        <v>1</v>
      </c>
      <c r="DD6" t="n">
        <v>231.100647058824</v>
      </c>
      <c r="DE6" t="n">
        <v>-0.114255157669305</v>
      </c>
      <c r="DF6" t="n">
        <v>0.283060467698516</v>
      </c>
      <c r="DG6" t="n">
        <v>1</v>
      </c>
      <c r="DH6" t="n">
        <v>3</v>
      </c>
      <c r="DI6" t="n">
        <v>3</v>
      </c>
      <c r="DJ6" t="n">
        <v>100</v>
      </c>
      <c r="DK6" t="n">
        <v>100</v>
      </c>
      <c r="DL6" t="n">
        <v>-0.218</v>
      </c>
      <c r="DM6" t="n">
        <v>-0.1384</v>
      </c>
      <c r="DN6" t="n">
        <v>-0.293452765554708</v>
      </c>
      <c r="DO6" t="n">
        <v>-6.16732984266029e-05</v>
      </c>
      <c r="DP6" t="n">
        <v>6.19398071816742e-07</v>
      </c>
      <c r="DQ6" t="n">
        <v>3.19222985850634e-12</v>
      </c>
      <c r="DR6" t="n">
        <v>-0.06551973841209099</v>
      </c>
      <c r="DS6" t="n">
        <v>-0.0257783215012692</v>
      </c>
      <c r="DT6" t="n">
        <v>0.00133723821780375</v>
      </c>
      <c r="DU6" t="n">
        <v>-7.42160749481374e-06</v>
      </c>
      <c r="DV6" t="n">
        <v>7</v>
      </c>
      <c r="DW6" t="n">
        <v>2154</v>
      </c>
      <c r="DX6" t="n">
        <v>2</v>
      </c>
      <c r="DY6" t="n">
        <v>20</v>
      </c>
      <c r="DZ6" t="n">
        <v>0.9</v>
      </c>
      <c r="EA6" t="n">
        <v>1</v>
      </c>
      <c r="EB6" t="n">
        <v>1.0498</v>
      </c>
      <c r="EC6" t="n">
        <v>2.65991</v>
      </c>
      <c r="ED6" t="n">
        <v>1.65161</v>
      </c>
      <c r="EE6" t="n">
        <v>2.27539</v>
      </c>
      <c r="EF6" t="n">
        <v>1.5979</v>
      </c>
      <c r="EG6" t="n">
        <v>2.64404</v>
      </c>
      <c r="EH6" t="n">
        <v>37.6022</v>
      </c>
      <c r="EI6" t="n">
        <v>23.7986</v>
      </c>
      <c r="EJ6" t="n">
        <v>18</v>
      </c>
      <c r="EK6" t="n">
        <v>504.78</v>
      </c>
      <c r="EL6" t="n">
        <v>522.796</v>
      </c>
      <c r="EM6" t="n">
        <v>23.4994</v>
      </c>
      <c r="EN6" t="n">
        <v>29.6082</v>
      </c>
      <c r="EO6" t="n">
        <v>29.9994</v>
      </c>
      <c r="EP6" t="n">
        <v>29.7753</v>
      </c>
      <c r="EQ6" t="n">
        <v>29.8328</v>
      </c>
      <c r="ER6" t="n">
        <v>20.997</v>
      </c>
      <c r="ES6" t="n">
        <v>20.6492</v>
      </c>
      <c r="ET6" t="n">
        <v>19.1024</v>
      </c>
      <c r="EU6" t="n">
        <v>23.5537</v>
      </c>
      <c r="EV6" t="n">
        <v>405.124</v>
      </c>
      <c r="EW6" t="n">
        <v>16.7966</v>
      </c>
      <c r="EX6" t="n">
        <v>98.0189</v>
      </c>
      <c r="EY6" t="n">
        <v>94.5196</v>
      </c>
    </row>
    <row r="7">
      <c r="A7" t="n">
        <v>6</v>
      </c>
      <c r="B7" t="n">
        <v>1792296650</v>
      </c>
      <c r="C7" t="n">
        <v>788</v>
      </c>
      <c r="D7" t="n">
        <v>5</v>
      </c>
      <c r="E7" t="n">
        <v>1792296646.5</v>
      </c>
      <c r="F7" t="n">
        <v>0.002933691319793814</v>
      </c>
      <c r="G7" t="n">
        <v>2.933691319793814</v>
      </c>
      <c r="H7" t="n">
        <v>6.643586298436028</v>
      </c>
      <c r="I7" t="n">
        <v>400.0195</v>
      </c>
      <c r="J7" t="n">
        <v>342.7040759976139</v>
      </c>
      <c r="K7" t="n">
        <v>0.0346165054913587</v>
      </c>
      <c r="L7" t="n">
        <v>0.04040593091310934</v>
      </c>
      <c r="M7" t="n">
        <v>0.2234398814506147</v>
      </c>
      <c r="N7" t="n">
        <v>3.02415865408366</v>
      </c>
      <c r="O7" t="n">
        <v>0.2146568316221324</v>
      </c>
      <c r="P7" t="n">
        <v>0.1349208749126466</v>
      </c>
      <c r="Q7" t="n">
        <v>3.187584897201894</v>
      </c>
      <c r="R7" t="n">
        <v>55.10044114556808</v>
      </c>
      <c r="S7" t="n">
        <v>1.841459354054631</v>
      </c>
      <c r="T7" t="n">
        <v>3.342004738564142</v>
      </c>
      <c r="U7" t="n">
        <v>8125.4</v>
      </c>
      <c r="V7" t="n">
        <v>230.654807692308</v>
      </c>
      <c r="W7" t="n">
        <v>1050.94976592848</v>
      </c>
      <c r="X7" t="n">
        <v>-2.22481790193981</v>
      </c>
      <c r="Y7" t="n">
        <v>208.193423076923</v>
      </c>
      <c r="Z7" t="n">
        <v>595.580241071453</v>
      </c>
      <c r="AA7" t="n">
        <v>0.5</v>
      </c>
      <c r="AB7" t="n">
        <v>235</v>
      </c>
      <c r="AC7" t="n">
        <v>290</v>
      </c>
      <c r="AD7" t="n">
        <v>563.5700000000001</v>
      </c>
      <c r="AE7" t="n">
        <v>185</v>
      </c>
      <c r="AF7" t="n">
        <v>8126.44</v>
      </c>
      <c r="AG7" t="n">
        <v>562.28</v>
      </c>
      <c r="AH7" t="n">
        <v>1.29</v>
      </c>
      <c r="AI7" t="n">
        <v>300</v>
      </c>
      <c r="AJ7" t="n">
        <v>19.1</v>
      </c>
      <c r="AK7" t="n">
        <v>595.580241071453</v>
      </c>
      <c r="AL7" t="n">
        <v>2.60909354500786</v>
      </c>
      <c r="AM7" t="n">
        <v>-27.0637647022603</v>
      </c>
      <c r="AN7" t="n">
        <v>1.90169531004216</v>
      </c>
      <c r="AO7" t="n">
        <v>0.878542027709639</v>
      </c>
      <c r="AP7" t="n">
        <v>-0.00524434260289211</v>
      </c>
      <c r="AQ7" t="n">
        <v>290</v>
      </c>
      <c r="AR7" t="n">
        <v>559.92</v>
      </c>
      <c r="AS7" t="n">
        <v>675</v>
      </c>
      <c r="AT7" t="n">
        <v>8117.5</v>
      </c>
      <c r="AU7" t="n">
        <v>562.24</v>
      </c>
      <c r="AV7" t="n">
        <v>-2.32</v>
      </c>
      <c r="AW7" t="n">
        <v>200.0135</v>
      </c>
      <c r="AX7" t="n">
        <v>2</v>
      </c>
      <c r="AY7" t="n">
        <v>0.5</v>
      </c>
      <c r="AZ7" t="n">
        <v>2</v>
      </c>
      <c r="BA7" t="n">
        <v>1792296646.5</v>
      </c>
      <c r="BB7" t="n">
        <v>400.0195</v>
      </c>
      <c r="BC7" t="n">
        <v>403.146166666667</v>
      </c>
      <c r="BD7" t="n">
        <v>18.2304833333333</v>
      </c>
      <c r="BE7" t="n">
        <v>17.0784666666667</v>
      </c>
      <c r="BF7" t="n">
        <v>400.279166666667</v>
      </c>
      <c r="BG7" t="n">
        <v>18.3650333333333</v>
      </c>
      <c r="BH7" t="n">
        <v>500.029</v>
      </c>
      <c r="BI7" t="n">
        <v>100.909833333333</v>
      </c>
      <c r="BJ7" t="n">
        <v>0.100069716666667</v>
      </c>
      <c r="BK7" t="n">
        <v>25.8377833333333</v>
      </c>
      <c r="BL7" t="n">
        <v>25.0416666666667</v>
      </c>
      <c r="BM7" t="n">
        <v>999.9</v>
      </c>
      <c r="BN7" t="n">
        <v>9988.125</v>
      </c>
      <c r="BO7" t="n">
        <v>7.22783</v>
      </c>
      <c r="BP7" t="n">
        <v>200.0135</v>
      </c>
      <c r="BQ7" t="n">
        <v>0.900027833333333</v>
      </c>
      <c r="BR7" t="n">
        <v>0.0999719666666667</v>
      </c>
      <c r="BS7" t="n">
        <v>208.122333333333</v>
      </c>
      <c r="BT7" t="n">
        <v>4.99999</v>
      </c>
      <c r="BU7" t="n">
        <v>416.136166666667</v>
      </c>
      <c r="BV7" t="n">
        <v>1894.79666666667</v>
      </c>
      <c r="BW7" t="n">
        <v>36.3016666666667</v>
      </c>
      <c r="BX7" t="n">
        <v>41.2081666666667</v>
      </c>
      <c r="BY7" t="n">
        <v>38.458</v>
      </c>
      <c r="BZ7" t="n">
        <v>42.0205</v>
      </c>
      <c r="CA7" t="n">
        <v>39.4371666666667</v>
      </c>
      <c r="CB7" t="n">
        <v>175.516666666667</v>
      </c>
      <c r="CC7" t="n">
        <v>19.4983333333333</v>
      </c>
      <c r="CD7" t="n">
        <v>181.700000047684</v>
      </c>
      <c r="CE7" t="n">
        <v>208.193423076923</v>
      </c>
      <c r="CF7" t="n">
        <v>-0.771179491181612</v>
      </c>
      <c r="CG7" t="n">
        <v>-3.48116238979174</v>
      </c>
      <c r="CH7" t="n">
        <v>416.277923076923</v>
      </c>
      <c r="CI7" t="n">
        <v>15</v>
      </c>
      <c r="CJ7" t="n">
        <v>1792296544</v>
      </c>
      <c r="CK7" t="n">
        <v>1792296539</v>
      </c>
      <c r="CL7" t="n">
        <v>1792296544</v>
      </c>
      <c r="CM7" t="n">
        <v>37</v>
      </c>
      <c r="CN7" t="n">
        <v>-0.041</v>
      </c>
      <c r="CO7" t="n">
        <v>-0.001</v>
      </c>
      <c r="CP7" t="n">
        <v>-0.258</v>
      </c>
      <c r="CQ7" t="n">
        <v>-0.155</v>
      </c>
      <c r="CR7" t="n">
        <v>403</v>
      </c>
      <c r="CS7" t="n">
        <v>17</v>
      </c>
      <c r="CT7" t="n">
        <v>0.38</v>
      </c>
      <c r="CU7" t="n">
        <v>0.07000000000000001</v>
      </c>
      <c r="CV7" t="n">
        <v>6.70415194643083</v>
      </c>
      <c r="CW7" t="n">
        <v>-0.310356812023209</v>
      </c>
      <c r="CX7" t="n">
        <v>0.112452203350039</v>
      </c>
      <c r="CY7" t="n">
        <v>1</v>
      </c>
      <c r="CZ7" t="n">
        <v>-3.136938</v>
      </c>
      <c r="DA7" t="n">
        <v>0.110603007518798</v>
      </c>
      <c r="DB7" t="n">
        <v>0.0445121350420309</v>
      </c>
      <c r="DC7" t="n">
        <v>1</v>
      </c>
      <c r="DD7" t="n">
        <v>208.295294117647</v>
      </c>
      <c r="DE7" t="n">
        <v>-1.19233001871623</v>
      </c>
      <c r="DF7" t="n">
        <v>0.361988993122538</v>
      </c>
      <c r="DG7" t="n">
        <v>0</v>
      </c>
      <c r="DH7" t="n">
        <v>2</v>
      </c>
      <c r="DI7" t="n">
        <v>3</v>
      </c>
      <c r="DJ7" t="n">
        <v>100</v>
      </c>
      <c r="DK7" t="n">
        <v>100</v>
      </c>
      <c r="DL7" t="n">
        <v>-0.26</v>
      </c>
      <c r="DM7" t="n">
        <v>-0.1346</v>
      </c>
      <c r="DN7" t="n">
        <v>-0.334478559692521</v>
      </c>
      <c r="DO7" t="n">
        <v>-6.16732984266029e-05</v>
      </c>
      <c r="DP7" t="n">
        <v>6.19398071816742e-07</v>
      </c>
      <c r="DQ7" t="n">
        <v>3.19222985850634e-12</v>
      </c>
      <c r="DR7" t="n">
        <v>-0.06618536873872249</v>
      </c>
      <c r="DS7" t="n">
        <v>-0.0257783215012692</v>
      </c>
      <c r="DT7" t="n">
        <v>0.00133723821780375</v>
      </c>
      <c r="DU7" t="n">
        <v>-7.42160749481374e-06</v>
      </c>
      <c r="DV7" t="n">
        <v>7</v>
      </c>
      <c r="DW7" t="n">
        <v>2154</v>
      </c>
      <c r="DX7" t="n">
        <v>2</v>
      </c>
      <c r="DY7" t="n">
        <v>20</v>
      </c>
      <c r="DZ7" t="n">
        <v>1.9</v>
      </c>
      <c r="EA7" t="n">
        <v>1.8</v>
      </c>
      <c r="EB7" t="n">
        <v>1.04614</v>
      </c>
      <c r="EC7" t="n">
        <v>2.65381</v>
      </c>
      <c r="ED7" t="n">
        <v>1.65161</v>
      </c>
      <c r="EE7" t="n">
        <v>2.27417</v>
      </c>
      <c r="EF7" t="n">
        <v>1.5979</v>
      </c>
      <c r="EG7" t="n">
        <v>2.51221</v>
      </c>
      <c r="EH7" t="n">
        <v>37.6263</v>
      </c>
      <c r="EI7" t="n">
        <v>23.7986</v>
      </c>
      <c r="EJ7" t="n">
        <v>18</v>
      </c>
      <c r="EK7" t="n">
        <v>504.839</v>
      </c>
      <c r="EL7" t="n">
        <v>522.765</v>
      </c>
      <c r="EM7" t="n">
        <v>23.7622</v>
      </c>
      <c r="EN7" t="n">
        <v>29.6438</v>
      </c>
      <c r="EO7" t="n">
        <v>30.0001</v>
      </c>
      <c r="EP7" t="n">
        <v>29.8039</v>
      </c>
      <c r="EQ7" t="n">
        <v>29.8617</v>
      </c>
      <c r="ER7" t="n">
        <v>20.9208</v>
      </c>
      <c r="ES7" t="n">
        <v>20.5195</v>
      </c>
      <c r="ET7" t="n">
        <v>20.8594</v>
      </c>
      <c r="EU7" t="n">
        <v>23.7409</v>
      </c>
      <c r="EV7" t="n">
        <v>403.087</v>
      </c>
      <c r="EW7" t="n">
        <v>17.0113</v>
      </c>
      <c r="EX7" t="n">
        <v>98.0183</v>
      </c>
      <c r="EY7" t="n">
        <v>94.5129</v>
      </c>
    </row>
    <row r="8">
      <c r="A8" t="n">
        <v>7</v>
      </c>
      <c r="B8" t="n">
        <v>1792296785</v>
      </c>
      <c r="C8" t="n">
        <v>923</v>
      </c>
      <c r="D8" t="n">
        <v>5</v>
      </c>
      <c r="E8" t="n">
        <v>1792296782</v>
      </c>
      <c r="F8" t="n">
        <v>0.002648742749753994</v>
      </c>
      <c r="G8" t="n">
        <v>2.648742749753993</v>
      </c>
      <c r="H8" t="n">
        <v>2.933657543576055</v>
      </c>
      <c r="I8" t="n">
        <v>400.0314</v>
      </c>
      <c r="J8" t="n">
        <v>367.496126951215</v>
      </c>
      <c r="K8" t="n">
        <v>0.0371227417292074</v>
      </c>
      <c r="L8" t="n">
        <v>0.04040930300129292</v>
      </c>
      <c r="M8" t="n">
        <v>0.2003728054867607</v>
      </c>
      <c r="N8" t="n">
        <v>3.020616271475362</v>
      </c>
      <c r="O8" t="n">
        <v>0.1932706352813992</v>
      </c>
      <c r="P8" t="n">
        <v>0.121411276425353</v>
      </c>
      <c r="Q8" t="n">
        <v>3.181099638942815</v>
      </c>
      <c r="R8" t="n">
        <v>54.90319744576747</v>
      </c>
      <c r="S8" t="n">
        <v>1.831046258140476</v>
      </c>
      <c r="T8" t="n">
        <v>3.335044848615885</v>
      </c>
      <c r="U8" t="n">
        <v>8125.4</v>
      </c>
      <c r="V8" t="n">
        <v>230.654807692308</v>
      </c>
      <c r="W8" t="n">
        <v>1050.94976592848</v>
      </c>
      <c r="X8" t="n">
        <v>-2.22481790193981</v>
      </c>
      <c r="Y8" t="n">
        <v>196.381538461538</v>
      </c>
      <c r="Z8" t="n">
        <v>614.640940398725</v>
      </c>
      <c r="AA8" t="n">
        <v>0.5</v>
      </c>
      <c r="AB8" t="n">
        <v>236</v>
      </c>
      <c r="AC8" t="n">
        <v>290</v>
      </c>
      <c r="AD8" t="n">
        <v>592.6799999999999</v>
      </c>
      <c r="AE8" t="n">
        <v>245</v>
      </c>
      <c r="AF8" t="n">
        <v>8118.86</v>
      </c>
      <c r="AG8" t="n">
        <v>591.5599999999999</v>
      </c>
      <c r="AH8" t="n">
        <v>1.12</v>
      </c>
      <c r="AI8" t="n">
        <v>300</v>
      </c>
      <c r="AJ8" t="n">
        <v>19.1</v>
      </c>
      <c r="AK8" t="n">
        <v>614.640940398725</v>
      </c>
      <c r="AL8" t="n">
        <v>3.15440548162544</v>
      </c>
      <c r="AM8" t="n">
        <v>-18.7418456755474</v>
      </c>
      <c r="AN8" t="n">
        <v>2.29421993021883</v>
      </c>
      <c r="AO8" t="n">
        <v>0.704439154631375</v>
      </c>
      <c r="AP8" t="n">
        <v>-0.00530754193548386</v>
      </c>
      <c r="AQ8" t="n">
        <v>290</v>
      </c>
      <c r="AR8" t="n">
        <v>589.37</v>
      </c>
      <c r="AS8" t="n">
        <v>615</v>
      </c>
      <c r="AT8" t="n">
        <v>8113.96</v>
      </c>
      <c r="AU8" t="n">
        <v>591.54</v>
      </c>
      <c r="AV8" t="n">
        <v>-2.17</v>
      </c>
      <c r="AW8" t="n">
        <v>100.02722</v>
      </c>
      <c r="AX8" t="n">
        <v>2</v>
      </c>
      <c r="AY8" t="n">
        <v>0.5</v>
      </c>
      <c r="AZ8" t="n">
        <v>2</v>
      </c>
      <c r="BA8" t="n">
        <v>1792296782</v>
      </c>
      <c r="BB8" t="n">
        <v>400.0314</v>
      </c>
      <c r="BC8" t="n">
        <v>401.6284</v>
      </c>
      <c r="BD8" t="n">
        <v>18.12642</v>
      </c>
      <c r="BE8" t="n">
        <v>17.08632</v>
      </c>
      <c r="BF8" t="n">
        <v>400.2894</v>
      </c>
      <c r="BG8" t="n">
        <v>18.26488</v>
      </c>
      <c r="BH8" t="n">
        <v>500.0924</v>
      </c>
      <c r="BI8" t="n">
        <v>100.915</v>
      </c>
      <c r="BJ8" t="n">
        <v>0.1003278</v>
      </c>
      <c r="BK8" t="n">
        <v>25.8026</v>
      </c>
      <c r="BL8" t="n">
        <v>25.0075</v>
      </c>
      <c r="BM8" t="n">
        <v>999.9</v>
      </c>
      <c r="BN8" t="n">
        <v>9966.25</v>
      </c>
      <c r="BO8" t="n">
        <v>7.22783</v>
      </c>
      <c r="BP8" t="n">
        <v>100.02722</v>
      </c>
      <c r="BQ8" t="n">
        <v>0.8999509999999999</v>
      </c>
      <c r="BR8" t="n">
        <v>0.10004902</v>
      </c>
      <c r="BS8" t="n">
        <v>196.4118</v>
      </c>
      <c r="BT8" t="n">
        <v>4.99999</v>
      </c>
      <c r="BU8" t="n">
        <v>190.2568</v>
      </c>
      <c r="BV8" t="n">
        <v>923.2846</v>
      </c>
      <c r="BW8" t="n">
        <v>35.2748</v>
      </c>
      <c r="BX8" t="n">
        <v>38.5872</v>
      </c>
      <c r="BY8" t="n">
        <v>37.062</v>
      </c>
      <c r="BZ8" t="n">
        <v>38.375</v>
      </c>
      <c r="CA8" t="n">
        <v>37.7122</v>
      </c>
      <c r="CB8" t="n">
        <v>85.52</v>
      </c>
      <c r="CC8" t="n">
        <v>9.51</v>
      </c>
      <c r="CD8" t="n">
        <v>134.100000143051</v>
      </c>
      <c r="CE8" t="n">
        <v>196.381538461538</v>
      </c>
      <c r="CF8" t="n">
        <v>-0.922529898978637</v>
      </c>
      <c r="CG8" t="n">
        <v>-3.4566837584955</v>
      </c>
      <c r="CH8" t="n">
        <v>190.546153846154</v>
      </c>
      <c r="CI8" t="n">
        <v>15</v>
      </c>
      <c r="CJ8" t="n">
        <v>1792296722</v>
      </c>
      <c r="CK8" t="n">
        <v>1792296718</v>
      </c>
      <c r="CL8" t="n">
        <v>1792296722</v>
      </c>
      <c r="CM8" t="n">
        <v>38</v>
      </c>
      <c r="CN8" t="n">
        <v>0.002</v>
      </c>
      <c r="CO8" t="n">
        <v>-0.002</v>
      </c>
      <c r="CP8" t="n">
        <v>-0.257</v>
      </c>
      <c r="CQ8" t="n">
        <v>-0.155</v>
      </c>
      <c r="CR8" t="n">
        <v>402</v>
      </c>
      <c r="CS8" t="n">
        <v>17</v>
      </c>
      <c r="CT8" t="n">
        <v>0.41</v>
      </c>
      <c r="CU8" t="n">
        <v>0.07000000000000001</v>
      </c>
      <c r="CV8" t="n">
        <v>3.06853346292212</v>
      </c>
      <c r="CW8" t="n">
        <v>-0.459716958010418</v>
      </c>
      <c r="CX8" t="n">
        <v>0.0792827681776556</v>
      </c>
      <c r="CY8" t="n">
        <v>1</v>
      </c>
      <c r="CZ8" t="n">
        <v>-1.649534</v>
      </c>
      <c r="DA8" t="n">
        <v>0.23069052631579</v>
      </c>
      <c r="DB8" t="n">
        <v>0.0345929614806249</v>
      </c>
      <c r="DC8" t="n">
        <v>1</v>
      </c>
      <c r="DD8" t="n">
        <v>196.486823529412</v>
      </c>
      <c r="DE8" t="n">
        <v>-0.7890603513489191</v>
      </c>
      <c r="DF8" t="n">
        <v>0.352727312655862</v>
      </c>
      <c r="DG8" t="n">
        <v>1</v>
      </c>
      <c r="DH8" t="n">
        <v>3</v>
      </c>
      <c r="DI8" t="n">
        <v>3</v>
      </c>
      <c r="DJ8" t="n">
        <v>100</v>
      </c>
      <c r="DK8" t="n">
        <v>100</v>
      </c>
      <c r="DL8" t="n">
        <v>-0.258</v>
      </c>
      <c r="DM8" t="n">
        <v>-0.1385</v>
      </c>
      <c r="DN8" t="n">
        <v>-0.332406099064358</v>
      </c>
      <c r="DO8" t="n">
        <v>-6.16732984266029e-05</v>
      </c>
      <c r="DP8" t="n">
        <v>6.19398071816742e-07</v>
      </c>
      <c r="DQ8" t="n">
        <v>3.19222985850634e-12</v>
      </c>
      <c r="DR8" t="n">
        <v>-0.0685090888828209</v>
      </c>
      <c r="DS8" t="n">
        <v>-0.0257783215012692</v>
      </c>
      <c r="DT8" t="n">
        <v>0.00133723821780375</v>
      </c>
      <c r="DU8" t="n">
        <v>-7.42160749481374e-06</v>
      </c>
      <c r="DV8" t="n">
        <v>7</v>
      </c>
      <c r="DW8" t="n">
        <v>2154</v>
      </c>
      <c r="DX8" t="n">
        <v>2</v>
      </c>
      <c r="DY8" t="n">
        <v>20</v>
      </c>
      <c r="DZ8" t="n">
        <v>1.1</v>
      </c>
      <c r="EA8" t="n">
        <v>1.1</v>
      </c>
      <c r="EB8" t="n">
        <v>1.04248</v>
      </c>
      <c r="EC8" t="n">
        <v>2.64893</v>
      </c>
      <c r="ED8" t="n">
        <v>1.65161</v>
      </c>
      <c r="EE8" t="n">
        <v>2.27417</v>
      </c>
      <c r="EF8" t="n">
        <v>1.5979</v>
      </c>
      <c r="EG8" t="n">
        <v>2.62817</v>
      </c>
      <c r="EH8" t="n">
        <v>37.6504</v>
      </c>
      <c r="EI8" t="n">
        <v>23.8073</v>
      </c>
      <c r="EJ8" t="n">
        <v>18</v>
      </c>
      <c r="EK8" t="n">
        <v>504.662</v>
      </c>
      <c r="EL8" t="n">
        <v>522.443</v>
      </c>
      <c r="EM8" t="n">
        <v>23.7861</v>
      </c>
      <c r="EN8" t="n">
        <v>29.6776</v>
      </c>
      <c r="EO8" t="n">
        <v>30.0004</v>
      </c>
      <c r="EP8" t="n">
        <v>29.8315</v>
      </c>
      <c r="EQ8" t="n">
        <v>29.8874</v>
      </c>
      <c r="ER8" t="n">
        <v>20.8639</v>
      </c>
      <c r="ES8" t="n">
        <v>21.1914</v>
      </c>
      <c r="ET8" t="n">
        <v>21.92</v>
      </c>
      <c r="EU8" t="n">
        <v>23.7796</v>
      </c>
      <c r="EV8" t="n">
        <v>401.598</v>
      </c>
      <c r="EW8" t="n">
        <v>17.1509</v>
      </c>
      <c r="EX8" t="n">
        <v>98.01090000000001</v>
      </c>
      <c r="EY8" t="n">
        <v>94.5098</v>
      </c>
    </row>
    <row r="9">
      <c r="A9" t="n">
        <v>8</v>
      </c>
      <c r="B9" t="n">
        <v>1792296930</v>
      </c>
      <c r="C9" t="n">
        <v>1068</v>
      </c>
      <c r="D9" t="n">
        <v>5</v>
      </c>
      <c r="E9" t="n">
        <v>1792296927</v>
      </c>
      <c r="F9" t="n">
        <v>0.002231116598646798</v>
      </c>
      <c r="G9" t="n">
        <v>2.231116598646798</v>
      </c>
      <c r="H9" t="n">
        <v>0.9979639926946564</v>
      </c>
      <c r="I9" t="n">
        <v>400.0004</v>
      </c>
      <c r="J9" t="n">
        <v>381.6116849957793</v>
      </c>
      <c r="K9" t="n">
        <v>0.03854844210371836</v>
      </c>
      <c r="L9" t="n">
        <v>0.04040597514993475</v>
      </c>
      <c r="M9" t="n">
        <v>0.1669616210844975</v>
      </c>
      <c r="N9" t="n">
        <v>3.025668082916698</v>
      </c>
      <c r="O9" t="n">
        <v>0.1620069409848607</v>
      </c>
      <c r="P9" t="n">
        <v>0.101687248974927</v>
      </c>
      <c r="Q9" t="n">
        <v>3.18213524013118</v>
      </c>
      <c r="R9" t="n">
        <v>55.02585794632026</v>
      </c>
      <c r="S9" t="n">
        <v>1.825467401051381</v>
      </c>
      <c r="T9" t="n">
        <v>3.317471947156538</v>
      </c>
      <c r="U9" t="n">
        <v>8125.4</v>
      </c>
      <c r="V9" t="n">
        <v>230.654807692308</v>
      </c>
      <c r="W9" t="n">
        <v>1050.94976592848</v>
      </c>
      <c r="X9" t="n">
        <v>-2.22481790193981</v>
      </c>
      <c r="Y9" t="n">
        <v>190.65456</v>
      </c>
      <c r="Z9" t="n">
        <v>642.957356750102</v>
      </c>
      <c r="AA9" t="n">
        <v>0.5</v>
      </c>
      <c r="AB9" t="n">
        <v>237</v>
      </c>
      <c r="AC9" t="n">
        <v>290</v>
      </c>
      <c r="AD9" t="n">
        <v>621.55</v>
      </c>
      <c r="AE9" t="n">
        <v>215</v>
      </c>
      <c r="AF9" t="n">
        <v>8114.19</v>
      </c>
      <c r="AG9" t="n">
        <v>619.67</v>
      </c>
      <c r="AH9" t="n">
        <v>1.88</v>
      </c>
      <c r="AI9" t="n">
        <v>300</v>
      </c>
      <c r="AJ9" t="n">
        <v>19.1</v>
      </c>
      <c r="AK9" t="n">
        <v>642.957356750102</v>
      </c>
      <c r="AL9" t="n">
        <v>2.09033164292112</v>
      </c>
      <c r="AM9" t="n">
        <v>-18.8917678079387</v>
      </c>
      <c r="AN9" t="n">
        <v>1.51801051791404</v>
      </c>
      <c r="AO9" t="n">
        <v>0.846894226903886</v>
      </c>
      <c r="AP9" t="n">
        <v>-0.00533800956618467</v>
      </c>
      <c r="AQ9" t="n">
        <v>290</v>
      </c>
      <c r="AR9" t="n">
        <v>617.02</v>
      </c>
      <c r="AS9" t="n">
        <v>615</v>
      </c>
      <c r="AT9" t="n">
        <v>8108.08</v>
      </c>
      <c r="AU9" t="n">
        <v>619.66</v>
      </c>
      <c r="AV9" t="n">
        <v>-2.64</v>
      </c>
      <c r="AW9" t="n">
        <v>49.98946</v>
      </c>
      <c r="AX9" t="n">
        <v>2</v>
      </c>
      <c r="AY9" t="n">
        <v>0.5</v>
      </c>
      <c r="AZ9" t="n">
        <v>2</v>
      </c>
      <c r="BA9" t="n">
        <v>1792296927</v>
      </c>
      <c r="BB9" t="n">
        <v>400.0004</v>
      </c>
      <c r="BC9" t="n">
        <v>400.7566</v>
      </c>
      <c r="BD9" t="n">
        <v>18.07128</v>
      </c>
      <c r="BE9" t="n">
        <v>17.19492</v>
      </c>
      <c r="BF9" t="n">
        <v>400.2582</v>
      </c>
      <c r="BG9" t="n">
        <v>18.21208</v>
      </c>
      <c r="BH9" t="n">
        <v>499.9766</v>
      </c>
      <c r="BI9" t="n">
        <v>100.9148</v>
      </c>
      <c r="BJ9" t="n">
        <v>0.10003686</v>
      </c>
      <c r="BK9" t="n">
        <v>25.71348</v>
      </c>
      <c r="BL9" t="n">
        <v>25.01296</v>
      </c>
      <c r="BM9" t="n">
        <v>999.9</v>
      </c>
      <c r="BN9" t="n">
        <v>9996.75</v>
      </c>
      <c r="BO9" t="n">
        <v>7.22783</v>
      </c>
      <c r="BP9" t="n">
        <v>49.98946</v>
      </c>
      <c r="BQ9" t="n">
        <v>0.9000812</v>
      </c>
      <c r="BR9" t="n">
        <v>0.0999192</v>
      </c>
      <c r="BS9" t="n">
        <v>190.7346</v>
      </c>
      <c r="BT9" t="n">
        <v>4.99999</v>
      </c>
      <c r="BU9" t="n">
        <v>84.73018</v>
      </c>
      <c r="BV9" t="n">
        <v>437.1366</v>
      </c>
      <c r="BW9" t="n">
        <v>35.062</v>
      </c>
      <c r="BX9" t="n">
        <v>39.6498</v>
      </c>
      <c r="BY9" t="n">
        <v>37.2748</v>
      </c>
      <c r="BZ9" t="n">
        <v>39.7498</v>
      </c>
      <c r="CA9" t="n">
        <v>38.187</v>
      </c>
      <c r="CB9" t="n">
        <v>40.494</v>
      </c>
      <c r="CC9" t="n">
        <v>4.498</v>
      </c>
      <c r="CD9" t="n">
        <v>144.100000143051</v>
      </c>
      <c r="CE9" t="n">
        <v>190.65456</v>
      </c>
      <c r="CF9" t="n">
        <v>0.982461522114773</v>
      </c>
      <c r="CG9" t="n">
        <v>1.10230771223097</v>
      </c>
      <c r="CH9" t="n">
        <v>84.52599600000001</v>
      </c>
      <c r="CI9" t="n">
        <v>15</v>
      </c>
      <c r="CJ9" t="n">
        <v>1792296855</v>
      </c>
      <c r="CK9" t="n">
        <v>1792296851</v>
      </c>
      <c r="CL9" t="n">
        <v>1792296855</v>
      </c>
      <c r="CM9" t="n">
        <v>39</v>
      </c>
      <c r="CN9" t="n">
        <v>0</v>
      </c>
      <c r="CO9" t="n">
        <v>-0.002</v>
      </c>
      <c r="CP9" t="n">
        <v>-0.258</v>
      </c>
      <c r="CQ9" t="n">
        <v>-0.153</v>
      </c>
      <c r="CR9" t="n">
        <v>401</v>
      </c>
      <c r="CS9" t="n">
        <v>17</v>
      </c>
      <c r="CT9" t="n">
        <v>0.36</v>
      </c>
      <c r="CU9" t="n">
        <v>0.07000000000000001</v>
      </c>
      <c r="CV9" t="n">
        <v>0.944196873201166</v>
      </c>
      <c r="CW9" t="n">
        <v>0.08797106031459601</v>
      </c>
      <c r="CX9" t="n">
        <v>0.08097092253514809</v>
      </c>
      <c r="CY9" t="n">
        <v>1</v>
      </c>
      <c r="CZ9" t="n">
        <v>-0.742460619047619</v>
      </c>
      <c r="DA9" t="n">
        <v>-0.045597506493507</v>
      </c>
      <c r="DB9" t="n">
        <v>0.0337346852540261</v>
      </c>
      <c r="DC9" t="n">
        <v>1</v>
      </c>
      <c r="DD9" t="n">
        <v>190.586882352941</v>
      </c>
      <c r="DE9" t="n">
        <v>0.800305569361619</v>
      </c>
      <c r="DF9" t="n">
        <v>0.34165744494827</v>
      </c>
      <c r="DG9" t="n">
        <v>1</v>
      </c>
      <c r="DH9" t="n">
        <v>3</v>
      </c>
      <c r="DI9" t="n">
        <v>3</v>
      </c>
      <c r="DJ9" t="n">
        <v>100</v>
      </c>
      <c r="DK9" t="n">
        <v>100</v>
      </c>
      <c r="DL9" t="n">
        <v>-0.258</v>
      </c>
      <c r="DM9" t="n">
        <v>-0.1409</v>
      </c>
      <c r="DN9" t="n">
        <v>-0.332699739757382</v>
      </c>
      <c r="DO9" t="n">
        <v>-6.16732984266029e-05</v>
      </c>
      <c r="DP9" t="n">
        <v>6.19398071816742e-07</v>
      </c>
      <c r="DQ9" t="n">
        <v>3.19222985850634e-12</v>
      </c>
      <c r="DR9" t="n">
        <v>-0.07004451311505711</v>
      </c>
      <c r="DS9" t="n">
        <v>-0.0257783215012692</v>
      </c>
      <c r="DT9" t="n">
        <v>0.00133723821780375</v>
      </c>
      <c r="DU9" t="n">
        <v>-7.42160749481374e-06</v>
      </c>
      <c r="DV9" t="n">
        <v>7</v>
      </c>
      <c r="DW9" t="n">
        <v>2154</v>
      </c>
      <c r="DX9" t="n">
        <v>2</v>
      </c>
      <c r="DY9" t="n">
        <v>20</v>
      </c>
      <c r="DZ9" t="n">
        <v>1.3</v>
      </c>
      <c r="EA9" t="n">
        <v>1.2</v>
      </c>
      <c r="EB9" t="n">
        <v>1.04126</v>
      </c>
      <c r="EC9" t="n">
        <v>2.65991</v>
      </c>
      <c r="ED9" t="n">
        <v>1.65161</v>
      </c>
      <c r="EE9" t="n">
        <v>2.27417</v>
      </c>
      <c r="EF9" t="n">
        <v>1.5979</v>
      </c>
      <c r="EG9" t="n">
        <v>2.52808</v>
      </c>
      <c r="EH9" t="n">
        <v>37.6745</v>
      </c>
      <c r="EI9" t="n">
        <v>23.8073</v>
      </c>
      <c r="EJ9" t="n">
        <v>18</v>
      </c>
      <c r="EK9" t="n">
        <v>504.788</v>
      </c>
      <c r="EL9" t="n">
        <v>521.918</v>
      </c>
      <c r="EM9" t="n">
        <v>23.7207</v>
      </c>
      <c r="EN9" t="n">
        <v>29.7052</v>
      </c>
      <c r="EO9" t="n">
        <v>30</v>
      </c>
      <c r="EP9" t="n">
        <v>29.8551</v>
      </c>
      <c r="EQ9" t="n">
        <v>29.913</v>
      </c>
      <c r="ER9" t="n">
        <v>20.8281</v>
      </c>
      <c r="ES9" t="n">
        <v>21.5544</v>
      </c>
      <c r="ET9" t="n">
        <v>22.9439</v>
      </c>
      <c r="EU9" t="n">
        <v>23.7191</v>
      </c>
      <c r="EV9" t="n">
        <v>400.666</v>
      </c>
      <c r="EW9" t="n">
        <v>17.1633</v>
      </c>
      <c r="EX9" t="n">
        <v>98.00279999999999</v>
      </c>
      <c r="EY9" t="n">
        <v>94.5048</v>
      </c>
    </row>
    <row r="10">
      <c r="A10" t="n">
        <v>9</v>
      </c>
      <c r="B10" t="n">
        <v>1792297088.1</v>
      </c>
      <c r="C10" t="n">
        <v>1226.09999990463</v>
      </c>
      <c r="D10" t="n">
        <v>5</v>
      </c>
      <c r="E10" t="n">
        <v>1792297084.6</v>
      </c>
      <c r="F10" t="n">
        <v>0.001761850102141119</v>
      </c>
      <c r="G10" t="n">
        <v>1.761850102141119</v>
      </c>
      <c r="H10" t="n">
        <v>-1.285628772766978</v>
      </c>
      <c r="I10" t="n">
        <v>400.001333333333</v>
      </c>
      <c r="J10" t="n">
        <v>407.1744653233249</v>
      </c>
      <c r="K10" t="n">
        <v>0.04112994537383416</v>
      </c>
      <c r="L10" t="n">
        <v>0.04040536524410183</v>
      </c>
      <c r="M10" t="n">
        <v>0.1307920328318776</v>
      </c>
      <c r="N10" t="n">
        <v>3.024466455890868</v>
      </c>
      <c r="O10" t="n">
        <v>0.1277291506135412</v>
      </c>
      <c r="P10" t="n">
        <v>0.08009993290435706</v>
      </c>
      <c r="Q10" t="n">
        <v>3.180635041838204</v>
      </c>
      <c r="R10" t="n">
        <v>55.0384830973883</v>
      </c>
      <c r="S10" t="n">
        <v>1.821797769694377</v>
      </c>
      <c r="T10" t="n">
        <v>3.310043568008191</v>
      </c>
      <c r="U10" t="n">
        <v>8114.5</v>
      </c>
      <c r="V10" t="n">
        <v>170.695192307692</v>
      </c>
      <c r="W10" t="n">
        <v>706.844106823418</v>
      </c>
      <c r="X10" t="n">
        <v>-1.28562877276755</v>
      </c>
      <c r="Y10" t="n">
        <v>0</v>
      </c>
      <c r="Z10" t="n">
        <v>0</v>
      </c>
      <c r="AA10" t="n">
        <v>0.5</v>
      </c>
      <c r="AB10" t="n">
        <v>238</v>
      </c>
      <c r="AC10" t="n">
        <v>290</v>
      </c>
      <c r="AD10" t="n">
        <v>685.08</v>
      </c>
      <c r="AE10" t="n">
        <v>155</v>
      </c>
      <c r="AF10" t="n">
        <v>8114.5</v>
      </c>
      <c r="AG10" t="n">
        <v>679.98</v>
      </c>
      <c r="AH10" t="n">
        <v>5.1</v>
      </c>
      <c r="AI10" t="n">
        <v>300</v>
      </c>
      <c r="AJ10" t="n">
        <v>19.1</v>
      </c>
      <c r="AK10" t="n">
        <v>706.844106823418</v>
      </c>
      <c r="AL10" t="n">
        <v>2.97166849100987</v>
      </c>
      <c r="AM10" t="n">
        <v>-21.7967545701294</v>
      </c>
      <c r="AN10" t="n">
        <v>2.15589809128463</v>
      </c>
      <c r="AO10" t="n">
        <v>0.784975898435888</v>
      </c>
      <c r="AP10" t="n">
        <v>-0.00536539243604005</v>
      </c>
      <c r="AQ10" t="n">
        <v>290</v>
      </c>
      <c r="AR10" t="n">
        <v>673.11</v>
      </c>
      <c r="AS10" t="n">
        <v>615</v>
      </c>
      <c r="AT10" t="n">
        <v>8105.43</v>
      </c>
      <c r="AU10" t="n">
        <v>679.95</v>
      </c>
      <c r="AV10" t="n">
        <v>-6.84</v>
      </c>
      <c r="AW10" t="n">
        <v>0.0199999</v>
      </c>
      <c r="AX10" t="n">
        <v>2</v>
      </c>
      <c r="AY10" t="n">
        <v>0.5</v>
      </c>
      <c r="AZ10" t="n">
        <v>2</v>
      </c>
      <c r="BA10" t="n">
        <v>1792297084.6</v>
      </c>
      <c r="BB10" t="n">
        <v>400.001333333333</v>
      </c>
      <c r="BC10" t="n">
        <v>399.769</v>
      </c>
      <c r="BD10" t="n">
        <v>18.0352666666667</v>
      </c>
      <c r="BE10" t="n">
        <v>17.3433</v>
      </c>
      <c r="BF10" t="n">
        <v>400.276333333333</v>
      </c>
      <c r="BG10" t="n">
        <v>18.1775333333333</v>
      </c>
      <c r="BH10" t="n">
        <v>500.045666666667</v>
      </c>
      <c r="BI10" t="n">
        <v>100.913</v>
      </c>
      <c r="BJ10" t="n">
        <v>0.1000764</v>
      </c>
      <c r="BK10" t="n">
        <v>25.6756833333333</v>
      </c>
      <c r="BL10" t="n">
        <v>25.00505</v>
      </c>
      <c r="BM10" t="n">
        <v>999.9</v>
      </c>
      <c r="BN10" t="n">
        <v>9989.67</v>
      </c>
      <c r="BO10" t="n">
        <v>6.45775833333333</v>
      </c>
      <c r="BP10" t="n">
        <v>0.0199999</v>
      </c>
      <c r="BQ10" t="n">
        <v>0</v>
      </c>
      <c r="BR10" t="n">
        <v>0</v>
      </c>
      <c r="BS10" t="n">
        <v>167.166666666667</v>
      </c>
      <c r="BT10" t="n">
        <v>0.0199999</v>
      </c>
      <c r="BU10" t="n">
        <v>-11.3625</v>
      </c>
      <c r="BV10" t="n">
        <v>3.12083333333333</v>
      </c>
      <c r="BW10" t="n">
        <v>35.375</v>
      </c>
      <c r="BX10" t="n">
        <v>39.458</v>
      </c>
      <c r="BY10" t="n">
        <v>37.4685</v>
      </c>
      <c r="BZ10" t="n">
        <v>39.5623333333333</v>
      </c>
      <c r="CA10" t="n">
        <v>37.8016666666667</v>
      </c>
      <c r="CB10" t="n">
        <v>0</v>
      </c>
      <c r="CC10" t="n">
        <v>0</v>
      </c>
      <c r="CD10" t="n">
        <v>156.700000047684</v>
      </c>
      <c r="CE10" t="n">
        <v>170.695192307692</v>
      </c>
      <c r="CF10" t="n">
        <v>6.36153812060912</v>
      </c>
      <c r="CG10" t="n">
        <v>12.5837608221134</v>
      </c>
      <c r="CH10" t="n">
        <v>-14.3105769230769</v>
      </c>
      <c r="CI10" t="n">
        <v>15</v>
      </c>
      <c r="CJ10" t="n">
        <v>1792297004.1</v>
      </c>
      <c r="CK10" t="n">
        <v>1792297003.1</v>
      </c>
      <c r="CL10" t="n">
        <v>1792297004.1</v>
      </c>
      <c r="CM10" t="n">
        <v>40</v>
      </c>
      <c r="CN10" t="n">
        <v>-0.017</v>
      </c>
      <c r="CO10" t="n">
        <v>-0.001</v>
      </c>
      <c r="CP10" t="n">
        <v>-0.275</v>
      </c>
      <c r="CQ10" t="n">
        <v>-0.154</v>
      </c>
      <c r="CR10" t="n">
        <v>400</v>
      </c>
      <c r="CS10" t="n">
        <v>17</v>
      </c>
      <c r="CT10" t="n">
        <v>0.43</v>
      </c>
      <c r="CU10" t="n">
        <v>0.1</v>
      </c>
      <c r="CV10" t="n">
        <v>-1.34590876762412</v>
      </c>
      <c r="CW10" t="n">
        <v>-0.09766608876132279</v>
      </c>
      <c r="CX10" t="n">
        <v>0.107008464737286</v>
      </c>
      <c r="CY10" t="n">
        <v>1</v>
      </c>
      <c r="CZ10" t="n">
        <v>0.253752285714286</v>
      </c>
      <c r="DA10" t="n">
        <v>0.0684499480519481</v>
      </c>
      <c r="DB10" t="n">
        <v>0.0441679352699852</v>
      </c>
      <c r="DC10" t="n">
        <v>1</v>
      </c>
      <c r="DD10" t="n">
        <v>170.356617647059</v>
      </c>
      <c r="DE10" t="n">
        <v>-0.052330205148808</v>
      </c>
      <c r="DF10" t="n">
        <v>7.0105941596596</v>
      </c>
      <c r="DG10" t="n">
        <v>1</v>
      </c>
      <c r="DH10" t="n">
        <v>3</v>
      </c>
      <c r="DI10" t="n">
        <v>3</v>
      </c>
      <c r="DJ10" t="n">
        <v>100</v>
      </c>
      <c r="DK10" t="n">
        <v>100</v>
      </c>
      <c r="DL10" t="n">
        <v>-0.275</v>
      </c>
      <c r="DM10" t="n">
        <v>-0.1422</v>
      </c>
      <c r="DN10" t="n">
        <v>-0.34983858605542</v>
      </c>
      <c r="DO10" t="n">
        <v>-6.16732984266029e-05</v>
      </c>
      <c r="DP10" t="n">
        <v>6.19398071816742e-07</v>
      </c>
      <c r="DQ10" t="n">
        <v>3.19222985850634e-12</v>
      </c>
      <c r="DR10" t="n">
        <v>-0.0709678192445401</v>
      </c>
      <c r="DS10" t="n">
        <v>-0.0257783215012692</v>
      </c>
      <c r="DT10" t="n">
        <v>0.00133723821780375</v>
      </c>
      <c r="DU10" t="n">
        <v>-7.42160749481374e-06</v>
      </c>
      <c r="DV10" t="n">
        <v>7</v>
      </c>
      <c r="DW10" t="n">
        <v>2154</v>
      </c>
      <c r="DX10" t="n">
        <v>2</v>
      </c>
      <c r="DY10" t="n">
        <v>20</v>
      </c>
      <c r="DZ10" t="n">
        <v>1.4</v>
      </c>
      <c r="EA10" t="n">
        <v>1.4</v>
      </c>
      <c r="EB10" t="n">
        <v>1.03882</v>
      </c>
      <c r="EC10" t="n">
        <v>2.66724</v>
      </c>
      <c r="ED10" t="n">
        <v>1.65161</v>
      </c>
      <c r="EE10" t="n">
        <v>2.27417</v>
      </c>
      <c r="EF10" t="n">
        <v>1.5979</v>
      </c>
      <c r="EG10" t="n">
        <v>2.44995</v>
      </c>
      <c r="EH10" t="n">
        <v>37.7228</v>
      </c>
      <c r="EI10" t="n">
        <v>23.7898</v>
      </c>
      <c r="EJ10" t="n">
        <v>18</v>
      </c>
      <c r="EK10" t="n">
        <v>504.646</v>
      </c>
      <c r="EL10" t="n">
        <v>521.721</v>
      </c>
      <c r="EM10" t="n">
        <v>23.5616</v>
      </c>
      <c r="EN10" t="n">
        <v>29.7257</v>
      </c>
      <c r="EO10" t="n">
        <v>30.0001</v>
      </c>
      <c r="EP10" t="n">
        <v>29.8795</v>
      </c>
      <c r="EQ10" t="n">
        <v>29.9361</v>
      </c>
      <c r="ER10" t="n">
        <v>20.7907</v>
      </c>
      <c r="ES10" t="n">
        <v>21.7844</v>
      </c>
      <c r="ET10" t="n">
        <v>23.9373</v>
      </c>
      <c r="EU10" t="n">
        <v>23.5614</v>
      </c>
      <c r="EV10" t="n">
        <v>399.728</v>
      </c>
      <c r="EW10" t="n">
        <v>17.2785</v>
      </c>
      <c r="EX10" t="n">
        <v>97.9999</v>
      </c>
      <c r="EY10" t="n">
        <v>94.49939999999999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16.32918319514242</v>
      </c>
      <c r="B2" t="n">
        <v>283.7514014469034</v>
      </c>
      <c r="C2" t="n">
        <v>0.2509050966178326</v>
      </c>
      <c r="D2" t="n">
        <v>54.9</v>
      </c>
      <c r="E2" t="n">
        <v>0</v>
      </c>
      <c r="F2" t="n">
        <v>1499.9</v>
      </c>
      <c r="G2" t="n">
        <v>407.1</v>
      </c>
      <c r="H2" t="n">
        <v>400</v>
      </c>
      <c r="I2" t="n">
        <v>500</v>
      </c>
      <c r="J2" t="n">
        <v>24.8</v>
      </c>
      <c r="K2" t="n">
        <v>25</v>
      </c>
      <c r="L2" t="n">
        <v>10011.5</v>
      </c>
    </row>
    <row r="3">
      <c r="A3" t="n">
        <v>16.31691999998985</v>
      </c>
      <c r="B3" t="n">
        <v>281.9788549865643</v>
      </c>
      <c r="C3" t="n">
        <v>0.2461784206616511</v>
      </c>
      <c r="D3" t="n">
        <v>55</v>
      </c>
      <c r="E3" t="n">
        <v>0</v>
      </c>
      <c r="F3" t="n">
        <v>1200</v>
      </c>
      <c r="G3" t="n">
        <v>407</v>
      </c>
      <c r="H3" t="n">
        <v>400</v>
      </c>
      <c r="I3" t="n">
        <v>500</v>
      </c>
      <c r="J3" t="n">
        <v>25.1</v>
      </c>
      <c r="K3" t="n">
        <v>25</v>
      </c>
      <c r="L3" t="n">
        <v>10013.7</v>
      </c>
    </row>
    <row r="4">
      <c r="A4" t="n">
        <v>15.43928871029322</v>
      </c>
      <c r="B4" t="n">
        <v>290.0749957077998</v>
      </c>
      <c r="C4" t="n">
        <v>0.2513873675657959</v>
      </c>
      <c r="D4" t="n">
        <v>54.9</v>
      </c>
      <c r="E4" t="n">
        <v>0</v>
      </c>
      <c r="F4" t="n">
        <v>900</v>
      </c>
      <c r="G4" t="n">
        <v>406.7</v>
      </c>
      <c r="H4" t="n">
        <v>400</v>
      </c>
      <c r="I4" t="n">
        <v>500.1</v>
      </c>
      <c r="J4" t="n">
        <v>25.4</v>
      </c>
      <c r="K4" t="n">
        <v>25</v>
      </c>
      <c r="L4" t="n">
        <v>10004.8</v>
      </c>
    </row>
    <row r="5">
      <c r="A5" t="n">
        <v>13.98835126292213</v>
      </c>
      <c r="B5" t="n">
        <v>298.5075589617192</v>
      </c>
      <c r="C5" t="n">
        <v>0.2478790249655871</v>
      </c>
      <c r="D5" t="n">
        <v>55.1</v>
      </c>
      <c r="E5" t="n">
        <v>0</v>
      </c>
      <c r="F5" t="n">
        <v>600</v>
      </c>
      <c r="G5" t="n">
        <v>406.1</v>
      </c>
      <c r="H5" t="n">
        <v>400</v>
      </c>
      <c r="I5" t="n">
        <v>500</v>
      </c>
      <c r="J5" t="n">
        <v>25.6</v>
      </c>
      <c r="K5" t="n">
        <v>25</v>
      </c>
      <c r="L5" t="n">
        <v>10009.1</v>
      </c>
    </row>
    <row r="6">
      <c r="A6" t="n">
        <v>11.48514773337902</v>
      </c>
      <c r="B6" t="n">
        <v>313.0304928211482</v>
      </c>
      <c r="C6" t="n">
        <v>0.2412155796662011</v>
      </c>
      <c r="D6" t="n">
        <v>54.7</v>
      </c>
      <c r="E6" t="n">
        <v>0</v>
      </c>
      <c r="F6" t="n">
        <v>399.9</v>
      </c>
      <c r="G6" t="n">
        <v>405.1</v>
      </c>
      <c r="H6" t="n">
        <v>400</v>
      </c>
      <c r="I6" t="n">
        <v>500</v>
      </c>
      <c r="J6" t="n">
        <v>25.7</v>
      </c>
      <c r="K6" t="n">
        <v>25</v>
      </c>
      <c r="L6" t="n">
        <v>9990.6</v>
      </c>
    </row>
    <row r="7">
      <c r="A7" t="n">
        <v>6.643586298436028</v>
      </c>
      <c r="B7" t="n">
        <v>342.7040759976139</v>
      </c>
      <c r="C7" t="n">
        <v>0.2234398814506147</v>
      </c>
      <c r="D7" t="n">
        <v>55.1</v>
      </c>
      <c r="E7" t="n">
        <v>0</v>
      </c>
      <c r="F7" t="n">
        <v>200</v>
      </c>
      <c r="G7" t="n">
        <v>403.1</v>
      </c>
      <c r="H7" t="n">
        <v>400</v>
      </c>
      <c r="I7" t="n">
        <v>500</v>
      </c>
      <c r="J7" t="n">
        <v>25.8</v>
      </c>
      <c r="K7" t="n">
        <v>25</v>
      </c>
      <c r="L7" t="n">
        <v>9988.1</v>
      </c>
    </row>
    <row r="8">
      <c r="A8" t="n">
        <v>2.933657543576055</v>
      </c>
      <c r="B8" t="n">
        <v>367.496126951215</v>
      </c>
      <c r="C8" t="n">
        <v>0.2003728054867607</v>
      </c>
      <c r="D8" t="n">
        <v>54.9</v>
      </c>
      <c r="E8" t="n">
        <v>0</v>
      </c>
      <c r="F8" t="n">
        <v>100</v>
      </c>
      <c r="G8" t="n">
        <v>401.6</v>
      </c>
      <c r="H8" t="n">
        <v>400</v>
      </c>
      <c r="I8" t="n">
        <v>500.1</v>
      </c>
      <c r="J8" t="n">
        <v>25.8</v>
      </c>
      <c r="K8" t="n">
        <v>25</v>
      </c>
      <c r="L8" t="n">
        <v>9966.200000000001</v>
      </c>
    </row>
    <row r="9">
      <c r="A9" t="n">
        <v>0.9979639926946564</v>
      </c>
      <c r="B9" t="n">
        <v>381.6116849957793</v>
      </c>
      <c r="C9" t="n">
        <v>0.1669616210844975</v>
      </c>
      <c r="D9" t="n">
        <v>55</v>
      </c>
      <c r="E9" t="n">
        <v>0</v>
      </c>
      <c r="F9" t="n">
        <v>50</v>
      </c>
      <c r="G9" t="n">
        <v>400.8</v>
      </c>
      <c r="H9" t="n">
        <v>400</v>
      </c>
      <c r="I9" t="n">
        <v>500</v>
      </c>
      <c r="J9" t="n">
        <v>25.7</v>
      </c>
      <c r="K9" t="n">
        <v>25</v>
      </c>
      <c r="L9" t="n">
        <v>9996.799999999999</v>
      </c>
    </row>
    <row r="10">
      <c r="A10" t="n">
        <v>-1.285628772766978</v>
      </c>
      <c r="B10" t="n">
        <v>407.1744653233249</v>
      </c>
      <c r="C10" t="n">
        <v>0.1307920328318776</v>
      </c>
      <c r="D10" t="n">
        <v>55</v>
      </c>
      <c r="E10" t="n">
        <v>0</v>
      </c>
      <c r="F10" t="n">
        <v>0</v>
      </c>
      <c r="G10" t="n">
        <v>399.8</v>
      </c>
      <c r="H10" t="n">
        <v>400</v>
      </c>
      <c r="I10" t="n">
        <v>500</v>
      </c>
      <c r="J10" t="n">
        <v>25.7</v>
      </c>
      <c r="K10" t="n">
        <v>25</v>
      </c>
      <c r="L10" t="n">
        <v>9989.700000000001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2026-10-18T13:18:38Z</dcterms:created>
  <dcterms:modified xmlns:dcterms="http://purl.org/dc/terms/" xmlns:xsi="http://www.w3.org/2001/XMLSchema-instance" xsi:type="dcterms:W3CDTF">2026-10-18T08:01:38Z</dcterms:modified>
</cp:coreProperties>
</file>