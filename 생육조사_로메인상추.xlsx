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생육/"/>
    </mc:Choice>
  </mc:AlternateContent>
  <xr:revisionPtr revIDLastSave="904" documentId="8_{27196209-BD10-471D-8FC0-DB9F453A807E}" xr6:coauthVersionLast="47" xr6:coauthVersionMax="47" xr10:uidLastSave="{8BD5AA9A-12E7-49E1-B27C-85765E6566E0}"/>
  <bookViews>
    <workbookView xWindow="-120" yWindow="-120" windowWidth="29040" windowHeight="15720" xr2:uid="{6DAE383F-1CA2-4C3F-82BF-76BCC96C7B7A}"/>
  </bookViews>
  <sheets>
    <sheet name="파괴조사 데이터" sheetId="1" r:id="rId1"/>
    <sheet name="평균값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" l="1"/>
  <c r="Q5" i="3"/>
  <c r="Q6" i="3"/>
  <c r="Q7" i="3"/>
  <c r="Q3" i="3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3" i="1"/>
  <c r="D7" i="3"/>
  <c r="E7" i="3"/>
  <c r="F7" i="3"/>
  <c r="G7" i="3"/>
  <c r="H7" i="3"/>
  <c r="I7" i="3"/>
  <c r="K7" i="3"/>
  <c r="L7" i="3"/>
  <c r="N7" i="3"/>
  <c r="P7" i="3"/>
  <c r="C7" i="3"/>
  <c r="D6" i="3"/>
  <c r="E6" i="3"/>
  <c r="F6" i="3"/>
  <c r="G6" i="3"/>
  <c r="H6" i="3"/>
  <c r="I6" i="3"/>
  <c r="K6" i="3"/>
  <c r="L6" i="3"/>
  <c r="N6" i="3"/>
  <c r="P6" i="3"/>
  <c r="C6" i="3"/>
  <c r="D5" i="3"/>
  <c r="E5" i="3"/>
  <c r="F5" i="3"/>
  <c r="G5" i="3"/>
  <c r="H5" i="3"/>
  <c r="I5" i="3"/>
  <c r="K5" i="3"/>
  <c r="L5" i="3"/>
  <c r="N5" i="3"/>
  <c r="P5" i="3"/>
  <c r="C5" i="3"/>
  <c r="D4" i="3"/>
  <c r="E4" i="3"/>
  <c r="F4" i="3"/>
  <c r="G4" i="3"/>
  <c r="H4" i="3"/>
  <c r="I4" i="3"/>
  <c r="K4" i="3"/>
  <c r="L4" i="3"/>
  <c r="N4" i="3"/>
  <c r="P4" i="3"/>
  <c r="C4" i="3"/>
  <c r="D3" i="3"/>
  <c r="E3" i="3"/>
  <c r="F3" i="3"/>
  <c r="G3" i="3"/>
  <c r="H3" i="3"/>
  <c r="I3" i="3"/>
  <c r="K3" i="3"/>
  <c r="L3" i="3"/>
  <c r="N3" i="3"/>
  <c r="P3" i="3"/>
  <c r="C3" i="3"/>
  <c r="U1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3" i="1"/>
  <c r="U12" i="1"/>
  <c r="U13" i="1"/>
  <c r="U19" i="1"/>
  <c r="T5" i="3" s="1"/>
  <c r="U20" i="1"/>
  <c r="U21" i="1"/>
  <c r="U27" i="1"/>
  <c r="U28" i="1"/>
  <c r="U29" i="1"/>
  <c r="U35" i="1"/>
  <c r="U36" i="1"/>
  <c r="U37" i="1"/>
  <c r="N11" i="1"/>
  <c r="T11" i="1" s="1"/>
  <c r="N12" i="1"/>
  <c r="N13" i="1"/>
  <c r="N14" i="1"/>
  <c r="N15" i="1"/>
  <c r="N16" i="1"/>
  <c r="N17" i="1"/>
  <c r="N18" i="1"/>
  <c r="N19" i="1"/>
  <c r="T19" i="1" s="1"/>
  <c r="N20" i="1"/>
  <c r="N21" i="1"/>
  <c r="N22" i="1"/>
  <c r="N23" i="1"/>
  <c r="N24" i="1"/>
  <c r="N25" i="1"/>
  <c r="N26" i="1"/>
  <c r="N27" i="1"/>
  <c r="T27" i="1" s="1"/>
  <c r="N28" i="1"/>
  <c r="N29" i="1"/>
  <c r="N30" i="1"/>
  <c r="N31" i="1"/>
  <c r="N32" i="1"/>
  <c r="N33" i="1"/>
  <c r="N34" i="1"/>
  <c r="N35" i="1"/>
  <c r="T35" i="1" s="1"/>
  <c r="N36" i="1"/>
  <c r="N37" i="1"/>
  <c r="N38" i="1"/>
  <c r="N39" i="1"/>
  <c r="N40" i="1"/>
  <c r="N41" i="1"/>
  <c r="N42" i="1"/>
  <c r="K11" i="1"/>
  <c r="K12" i="1"/>
  <c r="K13" i="1"/>
  <c r="K14" i="1"/>
  <c r="K15" i="1"/>
  <c r="K16" i="1"/>
  <c r="K17" i="1"/>
  <c r="K18" i="1"/>
  <c r="K19" i="1"/>
  <c r="J5" i="3" s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7" i="3" s="1"/>
  <c r="K36" i="1"/>
  <c r="K37" i="1"/>
  <c r="K38" i="1"/>
  <c r="K39" i="1"/>
  <c r="K40" i="1"/>
  <c r="K41" i="1"/>
  <c r="K42" i="1"/>
  <c r="U10" i="1"/>
  <c r="U4" i="1"/>
  <c r="U5" i="1"/>
  <c r="U6" i="1"/>
  <c r="U7" i="1"/>
  <c r="U8" i="1"/>
  <c r="U9" i="1"/>
  <c r="U3" i="1"/>
  <c r="T3" i="3" s="1"/>
  <c r="N4" i="1"/>
  <c r="N5" i="1"/>
  <c r="N6" i="1"/>
  <c r="N7" i="1"/>
  <c r="N8" i="1"/>
  <c r="N9" i="1"/>
  <c r="N10" i="1"/>
  <c r="N3" i="1"/>
  <c r="K10" i="1"/>
  <c r="K5" i="1"/>
  <c r="K4" i="1"/>
  <c r="K6" i="1"/>
  <c r="K7" i="1"/>
  <c r="K8" i="1"/>
  <c r="K9" i="1"/>
  <c r="K3" i="1"/>
  <c r="J3" i="3" s="1"/>
  <c r="T7" i="3" l="1"/>
  <c r="O5" i="3"/>
  <c r="O4" i="3"/>
  <c r="O6" i="3"/>
  <c r="O7" i="3"/>
  <c r="T6" i="3"/>
  <c r="J4" i="3"/>
  <c r="J6" i="3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8" i="1"/>
  <c r="T28" i="1"/>
  <c r="S6" i="3" s="1"/>
  <c r="S29" i="1"/>
  <c r="T29" i="1"/>
  <c r="S30" i="1"/>
  <c r="T30" i="1"/>
  <c r="S31" i="1"/>
  <c r="T31" i="1"/>
  <c r="S32" i="1"/>
  <c r="T32" i="1"/>
  <c r="S33" i="1"/>
  <c r="T33" i="1"/>
  <c r="S34" i="1"/>
  <c r="T34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3" i="1"/>
  <c r="R3" i="3" s="1"/>
  <c r="T3" i="1"/>
  <c r="S3" i="3" s="1"/>
  <c r="T4" i="3"/>
  <c r="O3" i="3"/>
  <c r="S11" i="1"/>
  <c r="R4" i="3" s="1"/>
  <c r="M4" i="3"/>
  <c r="S19" i="1"/>
  <c r="R5" i="3" s="1"/>
  <c r="M5" i="3"/>
  <c r="M6" i="3"/>
  <c r="S27" i="1"/>
  <c r="R6" i="3" s="1"/>
  <c r="M7" i="3"/>
  <c r="S35" i="1"/>
  <c r="R7" i="3" s="1"/>
  <c r="M3" i="3"/>
  <c r="S4" i="3" l="1"/>
  <c r="S7" i="3"/>
  <c r="S5" i="3"/>
</calcChain>
</file>

<file path=xl/sharedStrings.xml><?xml version="1.0" encoding="utf-8"?>
<sst xmlns="http://schemas.openxmlformats.org/spreadsheetml/2006/main" count="180" uniqueCount="42">
  <si>
    <t>엽수</t>
    <phoneticPr fontId="2" type="noConversion"/>
  </si>
  <si>
    <t>엽면적</t>
    <phoneticPr fontId="2" type="noConversion"/>
  </si>
  <si>
    <t>SPAD</t>
    <phoneticPr fontId="2" type="noConversion"/>
  </si>
  <si>
    <t>엽장</t>
    <phoneticPr fontId="2" type="noConversion"/>
  </si>
  <si>
    <t>엽폭</t>
    <phoneticPr fontId="2" type="noConversion"/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</si>
  <si>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</si>
  <si>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</si>
  <si>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</si>
  <si>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</si>
  <si>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</si>
  <si>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</si>
  <si>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</si>
  <si>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</si>
  <si>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날짜</t>
    <phoneticPr fontId="2" type="noConversion"/>
  </si>
  <si>
    <t>Treatment</t>
    <phoneticPr fontId="2" type="noConversion"/>
  </si>
  <si>
    <t>Repeat</t>
    <phoneticPr fontId="2" type="noConversion"/>
  </si>
  <si>
    <t>CR</t>
    <phoneticPr fontId="2" type="noConversion"/>
  </si>
  <si>
    <t>2026-10-07</t>
    <phoneticPr fontId="2" type="noConversion"/>
  </si>
  <si>
    <t>1h</t>
    <phoneticPr fontId="2" type="noConversion"/>
  </si>
  <si>
    <t>2h</t>
    <phoneticPr fontId="2" type="noConversion"/>
  </si>
  <si>
    <t>22.5h</t>
    <phoneticPr fontId="2" type="noConversion"/>
  </si>
  <si>
    <t>25h</t>
    <phoneticPr fontId="2" type="noConversion"/>
  </si>
  <si>
    <t>나머지</t>
    <phoneticPr fontId="2" type="noConversion"/>
  </si>
  <si>
    <t>전체</t>
    <phoneticPr fontId="2" type="noConversion"/>
  </si>
  <si>
    <t>TW측정용</t>
    <phoneticPr fontId="2" type="noConversion"/>
  </si>
  <si>
    <t>지상부 생체중</t>
    <phoneticPr fontId="2" type="noConversion"/>
  </si>
  <si>
    <t>지상부 건조중</t>
    <phoneticPr fontId="2" type="noConversion"/>
  </si>
  <si>
    <t>RWC(%)</t>
    <phoneticPr fontId="2" type="noConversion"/>
  </si>
  <si>
    <t>지하부 건조중</t>
    <phoneticPr fontId="2" type="noConversion"/>
  </si>
  <si>
    <t>포화 시간에 따른 포화중(TW)</t>
    <phoneticPr fontId="2" type="noConversion"/>
  </si>
  <si>
    <t>포화중(TW)</t>
    <phoneticPr fontId="2" type="noConversion"/>
  </si>
  <si>
    <t>2026-10-23</t>
  </si>
  <si>
    <t>2026-10-23</t>
    <phoneticPr fontId="2" type="noConversion"/>
  </si>
  <si>
    <t>CR</t>
  </si>
  <si>
    <t>1</t>
  </si>
  <si>
    <t>DR</t>
    <phoneticPr fontId="2" type="noConversion"/>
  </si>
  <si>
    <t>WR</t>
    <phoneticPr fontId="2" type="noConversion"/>
  </si>
  <si>
    <t>WDR</t>
    <phoneticPr fontId="2" type="noConversion"/>
  </si>
  <si>
    <t>지하부 건조중
(배지 포함)</t>
    <phoneticPr fontId="2" type="noConversion"/>
  </si>
  <si>
    <r>
      <t>SLA
(cm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/g)</t>
    </r>
    <phoneticPr fontId="2" type="noConversion"/>
  </si>
  <si>
    <t>S/R ratio
(g/g)</t>
    <phoneticPr fontId="2" type="noConversion"/>
  </si>
  <si>
    <t>LSI
(cm/cm)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</si>
</sst>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_ "/>
    <numFmt numFmtId="177" formatCode="0.0_);[Red]\(0.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0" fontId="0" fillId="2" borderId="3" xfId="0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49" fontId="0" fillId="0" borderId="18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6" xfId="0" applyBorder="1">
      <alignment vertical="center"/>
    </xf>
    <xf numFmtId="176" fontId="0" fillId="0" borderId="0" xfId="0" applyNumberFormat="1">
      <alignment vertical="center"/>
    </xf>
    <xf numFmtId="49" fontId="0" fillId="0" borderId="19" xfId="0" applyNumberForma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33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35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7" xfId="0" applyNumberFormat="1" applyBorder="1">
      <alignment vertical="center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4" xfId="1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7" fontId="0" fillId="2" borderId="17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177" fontId="0" fillId="2" borderId="17" xfId="0" applyNumberFormat="1" applyFill="1" applyBorder="1" applyAlignment="1">
      <alignment horizontal="center" vertical="center" wrapText="1"/>
    </xf>
    <xf numFmtId="177" fontId="0" fillId="2" borderId="17" xfId="1" applyNumberFormat="1" applyFont="1" applyFill="1" applyBorder="1" applyAlignment="1">
      <alignment horizontal="center" vertical="center"/>
    </xf>
    <xf numFmtId="177" fontId="0" fillId="2" borderId="4" xfId="1" applyNumberFormat="1" applyFont="1" applyFill="1" applyBorder="1" applyAlignment="1">
      <alignment horizontal="center" vertical="center"/>
    </xf>
    <xf numFmtId="177" fontId="0" fillId="2" borderId="28" xfId="0" applyNumberFormat="1" applyFill="1" applyBorder="1" applyAlignment="1">
      <alignment horizontal="center" vertical="center"/>
    </xf>
    <xf numFmtId="177" fontId="0" fillId="2" borderId="29" xfId="0" applyNumberFormat="1" applyFill="1" applyBorder="1" applyAlignment="1">
      <alignment horizontal="center" vertical="center"/>
    </xf>
    <xf numFmtId="177" fontId="0" fillId="2" borderId="21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176" fontId="0" fillId="0" borderId="40" xfId="0" applyNumberFormat="1" applyBorder="1">
      <alignment vertical="center"/>
    </xf>
    <xf numFmtId="176" fontId="0" fillId="0" borderId="41" xfId="0" applyNumberFormat="1" applyBorder="1">
      <alignment vertical="center"/>
    </xf>
    <xf numFmtId="177" fontId="0" fillId="2" borderId="22" xfId="0" applyNumberFormat="1" applyFill="1" applyBorder="1" applyAlignment="1">
      <alignment horizontal="center" vertical="center"/>
    </xf>
    <xf numFmtId="177" fontId="0" fillId="2" borderId="39" xfId="0" applyNumberFormat="1" applyFill="1" applyBorder="1" applyAlignment="1">
      <alignment horizontal="center" vertical="center"/>
    </xf>
    <xf numFmtId="177" fontId="0" fillId="0" borderId="20" xfId="0" applyNumberFormat="1" applyBorder="1">
      <alignment vertical="center"/>
    </xf>
    <xf numFmtId="177" fontId="0" fillId="0" borderId="21" xfId="0" applyNumberFormat="1" applyBorder="1">
      <alignment vertical="center"/>
    </xf>
    <xf numFmtId="177" fontId="0" fillId="0" borderId="15" xfId="0" applyNumberFormat="1" applyBorder="1">
      <alignment vertical="center"/>
    </xf>
    <xf numFmtId="177" fontId="0" fillId="0" borderId="42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30E5-07A7-4640-A9D1-D36F41E30B62}">
  <sheetPr>
    <pageSetUpPr fitToPage="1"/>
  </sheetPr>
  <dimension ref="A1:Z44"/>
  <sheetViews>
    <sheetView tabSelected="1" zoomScaleNormal="100" workbookViewId="0">
      <selection activeCell="V1" sqref="V1"/>
    </sheetView>
  </sheetViews>
  <sheetFormatPr defaultRowHeight="16.5" x14ac:dyDescent="0.3"/>
  <cols>
    <col min="1" max="1" width="10.375" style="3" customWidth="1"/>
    <col min="2" max="2" width="10" customWidth="1"/>
    <col min="3" max="3" width="8.75" customWidth="1"/>
    <col min="4" max="7" width="8.125" customWidth="1"/>
    <col min="8" max="8" width="9.625" customWidth="1"/>
    <col min="9" max="14" width="10.625" customWidth="1"/>
    <col min="15" max="16" width="13" customWidth="1"/>
    <col min="17" max="21" width="10.625" customWidth="1"/>
    <col min="23" max="26" width="7.25" customWidth="1"/>
  </cols>
  <sheetData>
    <row r="1" spans="1:26" ht="20.25" customHeight="1" x14ac:dyDescent="0.3">
      <c r="A1" s="47" t="s">
        <v>13</v>
      </c>
      <c r="B1" s="45" t="s">
        <v>14</v>
      </c>
      <c r="C1" s="49" t="s">
        <v>15</v>
      </c>
      <c r="D1" s="49" t="s">
        <v>2</v>
      </c>
      <c r="E1" s="49" t="s">
        <v>3</v>
      </c>
      <c r="F1" s="49" t="s">
        <v>4</v>
      </c>
      <c r="G1" s="49" t="s">
        <v>0</v>
      </c>
      <c r="H1" s="51" t="s">
        <v>1</v>
      </c>
      <c r="I1" s="43" t="s">
        <v>25</v>
      </c>
      <c r="J1" s="43"/>
      <c r="K1" s="44"/>
      <c r="L1" s="42" t="s">
        <v>26</v>
      </c>
      <c r="M1" s="43"/>
      <c r="N1" s="44"/>
      <c r="O1" s="40" t="s">
        <v>38</v>
      </c>
      <c r="P1" s="40" t="s">
        <v>28</v>
      </c>
      <c r="Q1" s="67" t="s">
        <v>30</v>
      </c>
      <c r="R1" s="70" t="s">
        <v>41</v>
      </c>
      <c r="S1" s="40" t="s">
        <v>39</v>
      </c>
      <c r="T1" s="40" t="s">
        <v>40</v>
      </c>
      <c r="U1" s="53" t="s">
        <v>27</v>
      </c>
      <c r="W1" s="42" t="s">
        <v>29</v>
      </c>
      <c r="X1" s="43"/>
      <c r="Y1" s="43"/>
      <c r="Z1" s="44"/>
    </row>
    <row r="2" spans="1:26" ht="20.25" customHeight="1" thickBot="1" x14ac:dyDescent="0.35">
      <c r="A2" s="48"/>
      <c r="B2" s="46"/>
      <c r="C2" s="50"/>
      <c r="D2" s="50"/>
      <c r="E2" s="50"/>
      <c r="F2" s="50"/>
      <c r="G2" s="50"/>
      <c r="H2" s="52"/>
      <c r="I2" s="4" t="s">
        <v>24</v>
      </c>
      <c r="J2" s="4" t="s">
        <v>22</v>
      </c>
      <c r="K2" s="4" t="s">
        <v>23</v>
      </c>
      <c r="L2" s="4" t="s">
        <v>24</v>
      </c>
      <c r="M2" s="4" t="s">
        <v>22</v>
      </c>
      <c r="N2" s="4" t="s">
        <v>23</v>
      </c>
      <c r="O2" s="50"/>
      <c r="P2" s="41"/>
      <c r="Q2" s="68"/>
      <c r="R2" s="69"/>
      <c r="S2" s="50"/>
      <c r="T2" s="41"/>
      <c r="U2" s="54"/>
      <c r="W2" s="4" t="s">
        <v>18</v>
      </c>
      <c r="X2" s="4" t="s">
        <v>19</v>
      </c>
      <c r="Y2" s="4" t="s">
        <v>20</v>
      </c>
      <c r="Z2" s="4" t="s">
        <v>21</v>
      </c>
    </row>
    <row r="3" spans="1:26" ht="21.75" customHeight="1" thickTop="1" x14ac:dyDescent="0.3">
      <c r="A3" s="6" t="s">
        <v>17</v>
      </c>
      <c r="B3" s="5" t="s">
        <v>16</v>
      </c>
      <c r="C3" s="5" t="s">
        <v>5</v>
      </c>
      <c r="D3" s="2">
        <v>38.5</v>
      </c>
      <c r="E3" s="2">
        <v>15.4</v>
      </c>
      <c r="F3" s="2">
        <v>7.8</v>
      </c>
      <c r="G3" s="2">
        <v>15</v>
      </c>
      <c r="H3" s="2">
        <v>340.15</v>
      </c>
      <c r="I3" s="2">
        <v>2.48</v>
      </c>
      <c r="J3" s="2">
        <v>10.28</v>
      </c>
      <c r="K3" s="2">
        <f>I3+J3</f>
        <v>12.76</v>
      </c>
      <c r="L3" s="2">
        <v>0.113</v>
      </c>
      <c r="M3" s="2">
        <v>0.51500000000000001</v>
      </c>
      <c r="N3" s="2">
        <f>L3+M3</f>
        <v>0.628</v>
      </c>
      <c r="O3" s="15">
        <v>0.63400000000000001</v>
      </c>
      <c r="P3" s="15">
        <f>O3-0.22</f>
        <v>0.41400000000000003</v>
      </c>
      <c r="Q3" s="15">
        <v>2.6</v>
      </c>
      <c r="R3" s="71">
        <f>E3/F3</f>
        <v>1.9743589743589745</v>
      </c>
      <c r="S3" s="38">
        <f>H3/N3</f>
        <v>541.64012738853501</v>
      </c>
      <c r="T3" s="38">
        <f>N3/P3</f>
        <v>1.5169082125603863</v>
      </c>
      <c r="U3" s="33">
        <f>(I3-L3)/(Q3-L3)*100</f>
        <v>95.174909529553673</v>
      </c>
      <c r="V3" s="19"/>
      <c r="W3" s="2">
        <v>2.52</v>
      </c>
      <c r="X3" s="2">
        <v>2.4900000000000002</v>
      </c>
      <c r="Y3" s="2">
        <v>2.6</v>
      </c>
      <c r="Z3" s="2">
        <v>2.59</v>
      </c>
    </row>
    <row r="4" spans="1:26" ht="21.75" customHeight="1" x14ac:dyDescent="0.3">
      <c r="A4" s="7" t="s">
        <v>17</v>
      </c>
      <c r="B4" s="5" t="s">
        <v>16</v>
      </c>
      <c r="C4" s="5" t="s">
        <v>6</v>
      </c>
      <c r="D4" s="1">
        <v>41.1</v>
      </c>
      <c r="E4" s="1">
        <v>16</v>
      </c>
      <c r="F4" s="1">
        <v>7.6</v>
      </c>
      <c r="G4" s="1">
        <v>15</v>
      </c>
      <c r="H4" s="1">
        <v>371.45</v>
      </c>
      <c r="I4" s="1">
        <v>2.92</v>
      </c>
      <c r="J4" s="1">
        <v>12.47</v>
      </c>
      <c r="K4" s="2">
        <f>I4+J4</f>
        <v>15.39</v>
      </c>
      <c r="L4" s="1">
        <v>0.125</v>
      </c>
      <c r="M4" s="1">
        <v>0.61299999999999999</v>
      </c>
      <c r="N4" s="2">
        <f t="shared" ref="N4:N42" si="0">L4+M4</f>
        <v>0.73799999999999999</v>
      </c>
      <c r="O4" s="16">
        <v>1.1870000000000001</v>
      </c>
      <c r="P4" s="15">
        <f t="shared" ref="P4:P42" si="1">O4-0.22</f>
        <v>0.96700000000000008</v>
      </c>
      <c r="Q4" s="16">
        <v>3.1</v>
      </c>
      <c r="R4" s="71">
        <f t="shared" ref="R4:R42" si="2">E4/F4</f>
        <v>2.1052631578947367</v>
      </c>
      <c r="S4" s="38">
        <f t="shared" ref="S4:S42" si="3">H4/N4</f>
        <v>503.31978319783195</v>
      </c>
      <c r="T4" s="38">
        <f t="shared" ref="T4:T42" si="4">N4/P4</f>
        <v>0.76318510858324706</v>
      </c>
      <c r="U4" s="33">
        <f t="shared" ref="U4:U9" si="5">(I4-L4)/(Q4-L4)*100</f>
        <v>93.949579831932766</v>
      </c>
      <c r="W4" s="1">
        <v>3.02</v>
      </c>
      <c r="X4" s="1">
        <v>2.96</v>
      </c>
      <c r="Y4" s="1">
        <v>3.1</v>
      </c>
      <c r="Z4" s="1">
        <v>3.1</v>
      </c>
    </row>
    <row r="5" spans="1:26" ht="21.75" customHeight="1" x14ac:dyDescent="0.3">
      <c r="A5" s="7" t="s">
        <v>17</v>
      </c>
      <c r="B5" s="5" t="s">
        <v>16</v>
      </c>
      <c r="C5" s="5" t="s">
        <v>7</v>
      </c>
      <c r="D5" s="1">
        <v>41.1</v>
      </c>
      <c r="E5" s="1">
        <v>15.2</v>
      </c>
      <c r="F5" s="1">
        <v>7.7</v>
      </c>
      <c r="G5" s="1">
        <v>14</v>
      </c>
      <c r="H5" s="1">
        <v>304.20999999999998</v>
      </c>
      <c r="I5" s="1">
        <v>3.13</v>
      </c>
      <c r="J5" s="1">
        <v>9.98</v>
      </c>
      <c r="K5" s="2">
        <f>I5+J5</f>
        <v>13.11</v>
      </c>
      <c r="L5" s="1">
        <v>0.13700000000000001</v>
      </c>
      <c r="M5" s="1">
        <v>0.49299999999999999</v>
      </c>
      <c r="N5" s="2">
        <f t="shared" si="0"/>
        <v>0.63</v>
      </c>
      <c r="O5" s="16">
        <v>0.90800000000000003</v>
      </c>
      <c r="P5" s="15">
        <f t="shared" si="1"/>
        <v>0.68800000000000006</v>
      </c>
      <c r="Q5" s="16">
        <v>3.5</v>
      </c>
      <c r="R5" s="71">
        <f t="shared" si="2"/>
        <v>1.9740259740259738</v>
      </c>
      <c r="S5" s="38">
        <f t="shared" si="3"/>
        <v>482.87301587301585</v>
      </c>
      <c r="T5" s="38">
        <f t="shared" si="4"/>
        <v>0.91569767441860461</v>
      </c>
      <c r="U5" s="33">
        <f t="shared" si="5"/>
        <v>88.99791852512638</v>
      </c>
      <c r="W5" s="1">
        <v>3.27</v>
      </c>
      <c r="X5" s="1">
        <v>3.27</v>
      </c>
      <c r="Y5" s="1">
        <v>3.5</v>
      </c>
      <c r="Z5" s="1">
        <v>3.52</v>
      </c>
    </row>
    <row r="6" spans="1:26" ht="21.75" customHeight="1" x14ac:dyDescent="0.3">
      <c r="A6" s="7" t="s">
        <v>17</v>
      </c>
      <c r="B6" s="5" t="s">
        <v>16</v>
      </c>
      <c r="C6" s="5" t="s">
        <v>8</v>
      </c>
      <c r="D6" s="2">
        <v>40.299999999999997</v>
      </c>
      <c r="E6" s="2">
        <v>11.9</v>
      </c>
      <c r="F6" s="2">
        <v>6.8</v>
      </c>
      <c r="G6" s="2">
        <v>13</v>
      </c>
      <c r="H6" s="2">
        <v>227.88</v>
      </c>
      <c r="I6" s="2">
        <v>1.73</v>
      </c>
      <c r="J6" s="2">
        <v>6.7</v>
      </c>
      <c r="K6" s="2">
        <f t="shared" ref="K6:K9" si="6">I6+J6</f>
        <v>8.43</v>
      </c>
      <c r="L6" s="2">
        <v>0.106</v>
      </c>
      <c r="M6" s="2">
        <v>0.46500000000000002</v>
      </c>
      <c r="N6" s="2">
        <f t="shared" si="0"/>
        <v>0.57100000000000006</v>
      </c>
      <c r="O6" s="15">
        <v>0.65800000000000003</v>
      </c>
      <c r="P6" s="15">
        <f t="shared" si="1"/>
        <v>0.43800000000000006</v>
      </c>
      <c r="Q6" s="15">
        <v>1.96</v>
      </c>
      <c r="R6" s="71">
        <f t="shared" si="2"/>
        <v>1.75</v>
      </c>
      <c r="S6" s="38">
        <f t="shared" si="3"/>
        <v>399.08931698774074</v>
      </c>
      <c r="T6" s="38">
        <f t="shared" si="4"/>
        <v>1.3036529680365296</v>
      </c>
      <c r="U6" s="33">
        <f t="shared" si="5"/>
        <v>87.594390507011866</v>
      </c>
      <c r="W6" s="2">
        <v>1.76</v>
      </c>
      <c r="X6" s="2">
        <v>1.78</v>
      </c>
      <c r="Y6" s="2">
        <v>1.96</v>
      </c>
      <c r="Z6" s="2">
        <v>1.98</v>
      </c>
    </row>
    <row r="7" spans="1:26" ht="21.75" customHeight="1" x14ac:dyDescent="0.3">
      <c r="A7" s="7" t="s">
        <v>17</v>
      </c>
      <c r="B7" s="5" t="s">
        <v>16</v>
      </c>
      <c r="C7" s="5" t="s">
        <v>9</v>
      </c>
      <c r="D7" s="1">
        <v>44.6</v>
      </c>
      <c r="E7" s="1">
        <v>11.4</v>
      </c>
      <c r="F7" s="1">
        <v>6.3</v>
      </c>
      <c r="G7" s="1">
        <v>12</v>
      </c>
      <c r="H7" s="1">
        <v>204.12</v>
      </c>
      <c r="I7" s="1">
        <v>1.74</v>
      </c>
      <c r="J7" s="1">
        <v>5.0599999999999996</v>
      </c>
      <c r="K7" s="2">
        <f t="shared" si="6"/>
        <v>6.8</v>
      </c>
      <c r="L7" s="1">
        <v>0.104</v>
      </c>
      <c r="M7" s="1">
        <v>0.36299999999999999</v>
      </c>
      <c r="N7" s="2">
        <f t="shared" si="0"/>
        <v>0.46699999999999997</v>
      </c>
      <c r="O7" s="16">
        <v>0.86899999999999999</v>
      </c>
      <c r="P7" s="15">
        <f t="shared" si="1"/>
        <v>0.64900000000000002</v>
      </c>
      <c r="Q7" s="16">
        <v>2.0699999999999998</v>
      </c>
      <c r="R7" s="71">
        <f t="shared" si="2"/>
        <v>1.8095238095238095</v>
      </c>
      <c r="S7" s="38">
        <f t="shared" si="3"/>
        <v>437.08779443254821</v>
      </c>
      <c r="T7" s="38">
        <f t="shared" si="4"/>
        <v>0.71956856702619409</v>
      </c>
      <c r="U7" s="33">
        <f t="shared" si="5"/>
        <v>83.214649033570709</v>
      </c>
      <c r="W7" s="1">
        <v>1.76</v>
      </c>
      <c r="X7" s="1">
        <v>1.78</v>
      </c>
      <c r="Y7" s="1">
        <v>2.0699999999999998</v>
      </c>
      <c r="Z7" s="1">
        <v>2.1</v>
      </c>
    </row>
    <row r="8" spans="1:26" ht="21.75" customHeight="1" x14ac:dyDescent="0.3">
      <c r="A8" s="7" t="s">
        <v>17</v>
      </c>
      <c r="B8" s="5" t="s">
        <v>16</v>
      </c>
      <c r="C8" s="5" t="s">
        <v>10</v>
      </c>
      <c r="D8" s="1">
        <v>37.6</v>
      </c>
      <c r="E8" s="1">
        <v>9.9</v>
      </c>
      <c r="F8" s="1">
        <v>6.2</v>
      </c>
      <c r="G8" s="1">
        <v>10</v>
      </c>
      <c r="H8" s="1">
        <v>173.69</v>
      </c>
      <c r="I8" s="1">
        <v>1.23</v>
      </c>
      <c r="J8" s="1">
        <v>4.29</v>
      </c>
      <c r="K8" s="2">
        <f t="shared" si="6"/>
        <v>5.52</v>
      </c>
      <c r="L8" s="1">
        <v>6.4000000000000001E-2</v>
      </c>
      <c r="M8" s="1">
        <v>0.30499999999999999</v>
      </c>
      <c r="N8" s="2">
        <f t="shared" si="0"/>
        <v>0.36899999999999999</v>
      </c>
      <c r="O8" s="16">
        <v>0.96699999999999997</v>
      </c>
      <c r="P8" s="15">
        <f t="shared" si="1"/>
        <v>0.747</v>
      </c>
      <c r="Q8" s="16">
        <v>1.45</v>
      </c>
      <c r="R8" s="71">
        <f t="shared" si="2"/>
        <v>1.596774193548387</v>
      </c>
      <c r="S8" s="38">
        <f t="shared" si="3"/>
        <v>470.70460704607046</v>
      </c>
      <c r="T8" s="38">
        <f t="shared" si="4"/>
        <v>0.49397590361445781</v>
      </c>
      <c r="U8" s="33">
        <f t="shared" si="5"/>
        <v>84.126984126984127</v>
      </c>
      <c r="W8" s="1">
        <v>1.28</v>
      </c>
      <c r="X8" s="1">
        <v>1.26</v>
      </c>
      <c r="Y8" s="1">
        <v>1.45</v>
      </c>
      <c r="Z8" s="1">
        <v>1.46</v>
      </c>
    </row>
    <row r="9" spans="1:26" ht="21.75" customHeight="1" x14ac:dyDescent="0.3">
      <c r="A9" s="7" t="s">
        <v>17</v>
      </c>
      <c r="B9" s="5" t="s">
        <v>16</v>
      </c>
      <c r="C9" s="5" t="s">
        <v>11</v>
      </c>
      <c r="D9" s="1">
        <v>37.6</v>
      </c>
      <c r="E9" s="1">
        <v>11.9</v>
      </c>
      <c r="F9" s="1">
        <v>6.1</v>
      </c>
      <c r="G9" s="1">
        <v>14</v>
      </c>
      <c r="H9" s="1">
        <v>247.6</v>
      </c>
      <c r="I9" s="1">
        <v>1.82</v>
      </c>
      <c r="J9" s="1">
        <v>8.01</v>
      </c>
      <c r="K9" s="2">
        <f t="shared" si="6"/>
        <v>9.83</v>
      </c>
      <c r="L9" s="1">
        <v>0.112</v>
      </c>
      <c r="M9" s="1">
        <v>0.55200000000000005</v>
      </c>
      <c r="N9" s="2">
        <f t="shared" si="0"/>
        <v>0.66400000000000003</v>
      </c>
      <c r="O9" s="16">
        <v>1.4179999999999999</v>
      </c>
      <c r="P9" s="15">
        <f t="shared" si="1"/>
        <v>1.198</v>
      </c>
      <c r="Q9" s="16">
        <v>2.12</v>
      </c>
      <c r="R9" s="71">
        <f t="shared" si="2"/>
        <v>1.9508196721311477</v>
      </c>
      <c r="S9" s="38">
        <f t="shared" si="3"/>
        <v>372.89156626506019</v>
      </c>
      <c r="T9" s="38">
        <f t="shared" si="4"/>
        <v>0.55425709515859767</v>
      </c>
      <c r="U9" s="33">
        <f t="shared" si="5"/>
        <v>85.059760956175296</v>
      </c>
      <c r="W9" s="1">
        <v>1.86</v>
      </c>
      <c r="X9" s="1">
        <v>1.89</v>
      </c>
      <c r="Y9" s="1">
        <v>2.12</v>
      </c>
      <c r="Z9" s="1">
        <v>2.13</v>
      </c>
    </row>
    <row r="10" spans="1:26" ht="21.75" customHeight="1" thickBot="1" x14ac:dyDescent="0.35">
      <c r="A10" s="9" t="s">
        <v>17</v>
      </c>
      <c r="B10" s="10" t="s">
        <v>16</v>
      </c>
      <c r="C10" s="10" t="s">
        <v>12</v>
      </c>
      <c r="D10" s="11">
        <v>40.6</v>
      </c>
      <c r="E10" s="11">
        <v>13.3</v>
      </c>
      <c r="F10" s="11">
        <v>7.1</v>
      </c>
      <c r="G10" s="11">
        <v>14</v>
      </c>
      <c r="H10" s="11">
        <v>216.17</v>
      </c>
      <c r="I10" s="11">
        <v>2.2599999999999998</v>
      </c>
      <c r="J10" s="11">
        <v>6.13</v>
      </c>
      <c r="K10" s="21">
        <f>I10+J10</f>
        <v>8.39</v>
      </c>
      <c r="L10" s="11">
        <v>0.11700000000000001</v>
      </c>
      <c r="M10" s="11">
        <v>0.39100000000000001</v>
      </c>
      <c r="N10" s="21">
        <f t="shared" si="0"/>
        <v>0.50800000000000001</v>
      </c>
      <c r="O10" s="17">
        <v>0.67300000000000004</v>
      </c>
      <c r="P10" s="22">
        <f t="shared" si="1"/>
        <v>0.45300000000000007</v>
      </c>
      <c r="Q10" s="17">
        <v>2.6</v>
      </c>
      <c r="R10" s="72">
        <f t="shared" si="2"/>
        <v>1.8732394366197185</v>
      </c>
      <c r="S10" s="39">
        <f t="shared" si="3"/>
        <v>425.53149606299212</v>
      </c>
      <c r="T10" s="39">
        <f t="shared" si="4"/>
        <v>1.1214128035320088</v>
      </c>
      <c r="U10" s="34">
        <f>(I10-L10)/(Q10-L10)*100</f>
        <v>86.306886830447027</v>
      </c>
      <c r="W10" s="1">
        <v>2.2799999999999998</v>
      </c>
      <c r="X10" s="1">
        <v>2.29</v>
      </c>
      <c r="Y10" s="1">
        <v>2.6</v>
      </c>
      <c r="Z10" s="1">
        <v>2.6</v>
      </c>
    </row>
    <row r="11" spans="1:26" ht="21.75" customHeight="1" x14ac:dyDescent="0.3">
      <c r="A11" s="12" t="s">
        <v>32</v>
      </c>
      <c r="B11" s="13" t="s">
        <v>16</v>
      </c>
      <c r="C11" s="20" t="s">
        <v>5</v>
      </c>
      <c r="D11" s="14">
        <v>48.3</v>
      </c>
      <c r="E11" s="14">
        <v>17</v>
      </c>
      <c r="F11" s="14">
        <v>9</v>
      </c>
      <c r="G11" s="14">
        <v>37</v>
      </c>
      <c r="H11" s="14">
        <v>1518.74</v>
      </c>
      <c r="I11" s="14">
        <v>6.36</v>
      </c>
      <c r="J11" s="14">
        <v>74.540000000000006</v>
      </c>
      <c r="K11" s="14">
        <f t="shared" ref="K11:K42" si="7">I11+J11</f>
        <v>80.900000000000006</v>
      </c>
      <c r="L11" s="14">
        <v>0.57899999999999996</v>
      </c>
      <c r="M11" s="14">
        <v>6.94</v>
      </c>
      <c r="N11" s="14">
        <f t="shared" si="0"/>
        <v>7.5190000000000001</v>
      </c>
      <c r="O11" s="18">
        <v>5.96</v>
      </c>
      <c r="P11" s="14">
        <f t="shared" si="1"/>
        <v>5.74</v>
      </c>
      <c r="Q11" s="18">
        <v>7</v>
      </c>
      <c r="R11" s="71">
        <f t="shared" si="2"/>
        <v>1.8888888888888888</v>
      </c>
      <c r="S11" s="38">
        <f t="shared" si="3"/>
        <v>201.98696635190851</v>
      </c>
      <c r="T11" s="38">
        <f t="shared" si="4"/>
        <v>1.30993031358885</v>
      </c>
      <c r="U11" s="35">
        <f>(I11-L11)/(Q11-L11)*100</f>
        <v>90.032705186108089</v>
      </c>
    </row>
    <row r="12" spans="1:26" ht="21.75" customHeight="1" x14ac:dyDescent="0.3">
      <c r="A12" s="7" t="s">
        <v>31</v>
      </c>
      <c r="B12" s="5" t="s">
        <v>33</v>
      </c>
      <c r="C12" s="5" t="s">
        <v>6</v>
      </c>
      <c r="D12" s="1">
        <v>42.8</v>
      </c>
      <c r="E12" s="1">
        <v>16.5</v>
      </c>
      <c r="F12" s="1">
        <v>10</v>
      </c>
      <c r="G12" s="1">
        <v>34</v>
      </c>
      <c r="H12" s="1">
        <v>1648.8</v>
      </c>
      <c r="I12" s="1">
        <v>8.02</v>
      </c>
      <c r="J12" s="1">
        <v>92.6</v>
      </c>
      <c r="K12" s="2">
        <f t="shared" si="7"/>
        <v>100.61999999999999</v>
      </c>
      <c r="L12" s="1">
        <v>0.45400000000000001</v>
      </c>
      <c r="M12" s="1">
        <v>5.89</v>
      </c>
      <c r="N12" s="2">
        <f t="shared" si="0"/>
        <v>6.3439999999999994</v>
      </c>
      <c r="O12" s="16">
        <v>4.51</v>
      </c>
      <c r="P12" s="2">
        <f t="shared" si="1"/>
        <v>4.29</v>
      </c>
      <c r="Q12" s="16">
        <v>8.9499999999999993</v>
      </c>
      <c r="R12" s="71">
        <f t="shared" si="2"/>
        <v>1.65</v>
      </c>
      <c r="S12" s="38">
        <f t="shared" si="3"/>
        <v>259.89911727616646</v>
      </c>
      <c r="T12" s="38">
        <f t="shared" si="4"/>
        <v>1.4787878787878785</v>
      </c>
      <c r="U12" s="33">
        <f t="shared" ref="U12:U37" si="8">(I12-L12)/(Q12-L12)*100</f>
        <v>89.053672316384194</v>
      </c>
    </row>
    <row r="13" spans="1:26" ht="21.75" customHeight="1" x14ac:dyDescent="0.3">
      <c r="A13" s="7" t="s">
        <v>31</v>
      </c>
      <c r="B13" s="5" t="s">
        <v>33</v>
      </c>
      <c r="C13" s="5" t="s">
        <v>7</v>
      </c>
      <c r="D13" s="1">
        <v>44.8</v>
      </c>
      <c r="E13" s="1">
        <v>13.5</v>
      </c>
      <c r="F13" s="1">
        <v>9</v>
      </c>
      <c r="G13" s="1">
        <v>39</v>
      </c>
      <c r="H13" s="1">
        <v>1667.14</v>
      </c>
      <c r="I13" s="1">
        <v>5.45</v>
      </c>
      <c r="J13" s="1">
        <v>89.3</v>
      </c>
      <c r="K13" s="2">
        <f t="shared" si="7"/>
        <v>94.75</v>
      </c>
      <c r="L13" s="1">
        <v>0.37</v>
      </c>
      <c r="M13" s="1">
        <v>5.95</v>
      </c>
      <c r="N13" s="2">
        <f t="shared" si="0"/>
        <v>6.32</v>
      </c>
      <c r="O13" s="16">
        <v>4.2300000000000004</v>
      </c>
      <c r="P13" s="2">
        <f t="shared" si="1"/>
        <v>4.0100000000000007</v>
      </c>
      <c r="Q13" s="16">
        <v>5.59</v>
      </c>
      <c r="R13" s="71">
        <f t="shared" si="2"/>
        <v>1.5</v>
      </c>
      <c r="S13" s="38">
        <f t="shared" si="3"/>
        <v>263.78797468354429</v>
      </c>
      <c r="T13" s="38">
        <f t="shared" si="4"/>
        <v>1.5760598503740646</v>
      </c>
      <c r="U13" s="33">
        <f t="shared" si="8"/>
        <v>97.318007662835257</v>
      </c>
      <c r="V13" s="19"/>
    </row>
    <row r="14" spans="1:26" ht="21.75" customHeight="1" x14ac:dyDescent="0.3">
      <c r="A14" s="7" t="s">
        <v>31</v>
      </c>
      <c r="B14" s="5" t="s">
        <v>33</v>
      </c>
      <c r="C14" s="5" t="s">
        <v>8</v>
      </c>
      <c r="D14" s="2">
        <v>45.6</v>
      </c>
      <c r="E14" s="2">
        <v>15.5</v>
      </c>
      <c r="F14" s="2">
        <v>9</v>
      </c>
      <c r="G14" s="2">
        <v>33</v>
      </c>
      <c r="H14" s="2">
        <v>1395.68</v>
      </c>
      <c r="I14" s="23"/>
      <c r="J14" s="2">
        <v>89.64</v>
      </c>
      <c r="K14" s="2">
        <f t="shared" si="7"/>
        <v>89.64</v>
      </c>
      <c r="L14" s="23"/>
      <c r="M14" s="2">
        <v>4.78</v>
      </c>
      <c r="N14" s="2">
        <f t="shared" si="0"/>
        <v>4.78</v>
      </c>
      <c r="O14" s="15">
        <v>6.18</v>
      </c>
      <c r="P14" s="2">
        <f t="shared" si="1"/>
        <v>5.96</v>
      </c>
      <c r="Q14" s="24"/>
      <c r="R14" s="71">
        <f t="shared" si="2"/>
        <v>1.7222222222222223</v>
      </c>
      <c r="S14" s="38">
        <f t="shared" si="3"/>
        <v>291.98326359832635</v>
      </c>
      <c r="T14" s="38">
        <f t="shared" si="4"/>
        <v>0.80201342281879195</v>
      </c>
      <c r="U14" s="36"/>
    </row>
    <row r="15" spans="1:26" ht="21.75" customHeight="1" x14ac:dyDescent="0.3">
      <c r="A15" s="7" t="s">
        <v>31</v>
      </c>
      <c r="B15" s="5" t="s">
        <v>33</v>
      </c>
      <c r="C15" s="5" t="s">
        <v>9</v>
      </c>
      <c r="D15" s="1">
        <v>41.9</v>
      </c>
      <c r="E15" s="1">
        <v>15</v>
      </c>
      <c r="F15" s="1">
        <v>8</v>
      </c>
      <c r="G15" s="1">
        <v>33</v>
      </c>
      <c r="H15" s="1">
        <v>1399.98</v>
      </c>
      <c r="I15" s="23"/>
      <c r="J15" s="1">
        <v>80.95</v>
      </c>
      <c r="K15" s="2">
        <f t="shared" si="7"/>
        <v>80.95</v>
      </c>
      <c r="L15" s="23"/>
      <c r="M15" s="1">
        <v>4.71</v>
      </c>
      <c r="N15" s="2">
        <f t="shared" si="0"/>
        <v>4.71</v>
      </c>
      <c r="O15" s="16">
        <v>1.97</v>
      </c>
      <c r="P15" s="2">
        <f t="shared" si="1"/>
        <v>1.75</v>
      </c>
      <c r="Q15" s="24"/>
      <c r="R15" s="71">
        <f t="shared" si="2"/>
        <v>1.875</v>
      </c>
      <c r="S15" s="38">
        <f t="shared" si="3"/>
        <v>297.23566878980893</v>
      </c>
      <c r="T15" s="38">
        <f t="shared" si="4"/>
        <v>2.6914285714285713</v>
      </c>
      <c r="U15" s="37"/>
    </row>
    <row r="16" spans="1:26" ht="21.75" customHeight="1" x14ac:dyDescent="0.3">
      <c r="A16" s="7" t="s">
        <v>31</v>
      </c>
      <c r="B16" s="5" t="s">
        <v>33</v>
      </c>
      <c r="C16" s="5" t="s">
        <v>10</v>
      </c>
      <c r="D16" s="1">
        <v>36.299999999999997</v>
      </c>
      <c r="E16" s="1">
        <v>17</v>
      </c>
      <c r="F16" s="1">
        <v>8.5</v>
      </c>
      <c r="G16" s="1">
        <v>38</v>
      </c>
      <c r="H16" s="1">
        <v>1905.42</v>
      </c>
      <c r="I16" s="23"/>
      <c r="J16" s="1">
        <v>103.78</v>
      </c>
      <c r="K16" s="2">
        <f t="shared" si="7"/>
        <v>103.78</v>
      </c>
      <c r="L16" s="23"/>
      <c r="M16" s="1">
        <v>7.01</v>
      </c>
      <c r="N16" s="2">
        <f t="shared" si="0"/>
        <v>7.01</v>
      </c>
      <c r="O16" s="16">
        <v>3.38</v>
      </c>
      <c r="P16" s="2">
        <f t="shared" si="1"/>
        <v>3.1599999999999997</v>
      </c>
      <c r="Q16" s="24"/>
      <c r="R16" s="71">
        <f t="shared" si="2"/>
        <v>2</v>
      </c>
      <c r="S16" s="38">
        <f t="shared" si="3"/>
        <v>271.81455064194012</v>
      </c>
      <c r="T16" s="38">
        <f t="shared" si="4"/>
        <v>2.2183544303797471</v>
      </c>
      <c r="U16" s="37"/>
    </row>
    <row r="17" spans="1:22" ht="21.75" customHeight="1" x14ac:dyDescent="0.3">
      <c r="A17" s="7" t="s">
        <v>31</v>
      </c>
      <c r="B17" s="5" t="s">
        <v>33</v>
      </c>
      <c r="C17" s="5" t="s">
        <v>11</v>
      </c>
      <c r="D17" s="1">
        <v>41</v>
      </c>
      <c r="E17" s="1">
        <v>18</v>
      </c>
      <c r="F17" s="1">
        <v>9.5</v>
      </c>
      <c r="G17" s="1">
        <v>36</v>
      </c>
      <c r="H17" s="1">
        <v>1861.64</v>
      </c>
      <c r="I17" s="23"/>
      <c r="J17" s="1">
        <v>98.39</v>
      </c>
      <c r="K17" s="2">
        <f t="shared" si="7"/>
        <v>98.39</v>
      </c>
      <c r="L17" s="23"/>
      <c r="M17" s="1">
        <v>7.41</v>
      </c>
      <c r="N17" s="2">
        <f t="shared" si="0"/>
        <v>7.41</v>
      </c>
      <c r="O17" s="16">
        <v>4.5599999999999996</v>
      </c>
      <c r="P17" s="2">
        <f t="shared" si="1"/>
        <v>4.34</v>
      </c>
      <c r="Q17" s="24"/>
      <c r="R17" s="71">
        <f t="shared" si="2"/>
        <v>1.8947368421052631</v>
      </c>
      <c r="S17" s="38">
        <f t="shared" si="3"/>
        <v>251.23346828609988</v>
      </c>
      <c r="T17" s="38">
        <f t="shared" si="4"/>
        <v>1.707373271889401</v>
      </c>
      <c r="U17" s="37"/>
    </row>
    <row r="18" spans="1:22" ht="21.75" customHeight="1" x14ac:dyDescent="0.3">
      <c r="A18" s="7" t="s">
        <v>31</v>
      </c>
      <c r="B18" s="5" t="s">
        <v>33</v>
      </c>
      <c r="C18" s="8" t="s">
        <v>12</v>
      </c>
      <c r="D18" s="1">
        <v>44.8</v>
      </c>
      <c r="E18" s="1">
        <v>17.5</v>
      </c>
      <c r="F18" s="1">
        <v>9</v>
      </c>
      <c r="G18" s="1">
        <v>35</v>
      </c>
      <c r="H18" s="1">
        <v>1397.27</v>
      </c>
      <c r="I18" s="23"/>
      <c r="J18" s="1">
        <v>70.05</v>
      </c>
      <c r="K18" s="2">
        <f t="shared" si="7"/>
        <v>70.05</v>
      </c>
      <c r="L18" s="23"/>
      <c r="M18" s="1">
        <v>7.68</v>
      </c>
      <c r="N18" s="2">
        <f t="shared" si="0"/>
        <v>7.68</v>
      </c>
      <c r="O18" s="16">
        <v>6.64</v>
      </c>
      <c r="P18" s="2">
        <f t="shared" si="1"/>
        <v>6.42</v>
      </c>
      <c r="Q18" s="24"/>
      <c r="R18" s="71">
        <f t="shared" si="2"/>
        <v>1.9444444444444444</v>
      </c>
      <c r="S18" s="38">
        <f t="shared" si="3"/>
        <v>181.93619791666666</v>
      </c>
      <c r="T18" s="38">
        <f t="shared" si="4"/>
        <v>1.1962616822429906</v>
      </c>
      <c r="U18" s="37"/>
    </row>
    <row r="19" spans="1:22" ht="21.75" customHeight="1" x14ac:dyDescent="0.3">
      <c r="A19" s="7" t="s">
        <v>31</v>
      </c>
      <c r="B19" s="5" t="s">
        <v>35</v>
      </c>
      <c r="C19" s="5" t="s">
        <v>34</v>
      </c>
      <c r="D19" s="2">
        <v>38.299999999999997</v>
      </c>
      <c r="E19" s="2">
        <v>17.5</v>
      </c>
      <c r="F19" s="2">
        <v>9</v>
      </c>
      <c r="G19" s="2">
        <v>31</v>
      </c>
      <c r="H19" s="2">
        <v>1209.94</v>
      </c>
      <c r="I19" s="2">
        <v>4.83</v>
      </c>
      <c r="J19" s="2">
        <v>51.41</v>
      </c>
      <c r="K19" s="2">
        <f t="shared" si="7"/>
        <v>56.239999999999995</v>
      </c>
      <c r="L19" s="2">
        <v>0.46</v>
      </c>
      <c r="M19" s="2">
        <v>5.35</v>
      </c>
      <c r="N19" s="2">
        <f t="shared" si="0"/>
        <v>5.81</v>
      </c>
      <c r="O19" s="15">
        <v>4.8600000000000003</v>
      </c>
      <c r="P19" s="2">
        <f t="shared" si="1"/>
        <v>4.6400000000000006</v>
      </c>
      <c r="Q19" s="15">
        <v>5.34</v>
      </c>
      <c r="R19" s="71">
        <f t="shared" si="2"/>
        <v>1.9444444444444444</v>
      </c>
      <c r="S19" s="38">
        <f t="shared" si="3"/>
        <v>208.25129087779692</v>
      </c>
      <c r="T19" s="38">
        <f t="shared" si="4"/>
        <v>1.2521551724137929</v>
      </c>
      <c r="U19" s="33">
        <f t="shared" si="8"/>
        <v>89.549180327868854</v>
      </c>
    </row>
    <row r="20" spans="1:22" ht="21.75" customHeight="1" x14ac:dyDescent="0.3">
      <c r="A20" s="7" t="s">
        <v>31</v>
      </c>
      <c r="B20" s="5" t="s">
        <v>35</v>
      </c>
      <c r="C20" s="5" t="s">
        <v>6</v>
      </c>
      <c r="D20" s="1">
        <v>46.1</v>
      </c>
      <c r="E20" s="1">
        <v>15</v>
      </c>
      <c r="F20" s="1">
        <v>9</v>
      </c>
      <c r="G20" s="1">
        <v>33</v>
      </c>
      <c r="H20" s="1">
        <v>1424.04</v>
      </c>
      <c r="I20" s="1">
        <v>5.04</v>
      </c>
      <c r="J20" s="1">
        <v>67.73</v>
      </c>
      <c r="K20" s="2">
        <f t="shared" si="7"/>
        <v>72.77000000000001</v>
      </c>
      <c r="L20" s="1">
        <v>0.34699999999999998</v>
      </c>
      <c r="M20" s="1">
        <v>5.19</v>
      </c>
      <c r="N20" s="2">
        <f t="shared" si="0"/>
        <v>5.5370000000000008</v>
      </c>
      <c r="O20" s="16">
        <v>2.36</v>
      </c>
      <c r="P20" s="2">
        <f t="shared" si="1"/>
        <v>2.1399999999999997</v>
      </c>
      <c r="Q20" s="16">
        <v>5.75</v>
      </c>
      <c r="R20" s="71">
        <f t="shared" si="2"/>
        <v>1.6666666666666667</v>
      </c>
      <c r="S20" s="38">
        <f t="shared" si="3"/>
        <v>257.18620191439402</v>
      </c>
      <c r="T20" s="38">
        <f t="shared" si="4"/>
        <v>2.5873831775700942</v>
      </c>
      <c r="U20" s="33">
        <f t="shared" si="8"/>
        <v>86.859152322783629</v>
      </c>
    </row>
    <row r="21" spans="1:22" ht="21.75" customHeight="1" x14ac:dyDescent="0.3">
      <c r="A21" s="7" t="s">
        <v>31</v>
      </c>
      <c r="B21" s="5" t="s">
        <v>35</v>
      </c>
      <c r="C21" s="5" t="s">
        <v>7</v>
      </c>
      <c r="D21" s="1">
        <v>44.1</v>
      </c>
      <c r="E21" s="1">
        <v>15.5</v>
      </c>
      <c r="F21" s="1">
        <v>8.4</v>
      </c>
      <c r="G21" s="1">
        <v>30</v>
      </c>
      <c r="H21" s="1">
        <v>1117.81</v>
      </c>
      <c r="I21" s="1">
        <v>4.13</v>
      </c>
      <c r="J21" s="1">
        <v>52.58</v>
      </c>
      <c r="K21" s="2">
        <f t="shared" si="7"/>
        <v>56.71</v>
      </c>
      <c r="L21" s="1">
        <v>0.27700000000000002</v>
      </c>
      <c r="M21" s="1">
        <v>4.1500000000000004</v>
      </c>
      <c r="N21" s="2">
        <f t="shared" si="0"/>
        <v>4.4270000000000005</v>
      </c>
      <c r="O21" s="16">
        <v>3.46</v>
      </c>
      <c r="P21" s="2">
        <f t="shared" si="1"/>
        <v>3.2399999999999998</v>
      </c>
      <c r="Q21" s="16">
        <v>4.3899999999999997</v>
      </c>
      <c r="R21" s="71">
        <f t="shared" si="2"/>
        <v>1.8452380952380951</v>
      </c>
      <c r="S21" s="38">
        <f t="shared" si="3"/>
        <v>252.49830585046303</v>
      </c>
      <c r="T21" s="38">
        <f t="shared" si="4"/>
        <v>1.3663580246913583</v>
      </c>
      <c r="U21" s="33">
        <f t="shared" si="8"/>
        <v>93.678580111840517</v>
      </c>
      <c r="V21" s="19"/>
    </row>
    <row r="22" spans="1:22" ht="21.75" customHeight="1" x14ac:dyDescent="0.3">
      <c r="A22" s="7" t="s">
        <v>31</v>
      </c>
      <c r="B22" s="5" t="s">
        <v>35</v>
      </c>
      <c r="C22" s="5" t="s">
        <v>8</v>
      </c>
      <c r="D22" s="2">
        <v>41.1</v>
      </c>
      <c r="E22" s="2">
        <v>17</v>
      </c>
      <c r="F22" s="2">
        <v>9.1999999999999993</v>
      </c>
      <c r="G22" s="2">
        <v>31</v>
      </c>
      <c r="H22" s="2">
        <v>1288.94</v>
      </c>
      <c r="I22" s="23"/>
      <c r="J22" s="2">
        <v>61.44</v>
      </c>
      <c r="K22" s="2">
        <f t="shared" si="7"/>
        <v>61.44</v>
      </c>
      <c r="L22" s="23"/>
      <c r="M22" s="2">
        <v>5.78</v>
      </c>
      <c r="N22" s="2">
        <f t="shared" si="0"/>
        <v>5.78</v>
      </c>
      <c r="O22" s="15">
        <v>3.71</v>
      </c>
      <c r="P22" s="2">
        <f t="shared" si="1"/>
        <v>3.4899999999999998</v>
      </c>
      <c r="Q22" s="24"/>
      <c r="R22" s="71">
        <f t="shared" si="2"/>
        <v>1.847826086956522</v>
      </c>
      <c r="S22" s="38">
        <f t="shared" si="3"/>
        <v>223</v>
      </c>
      <c r="T22" s="38">
        <f t="shared" si="4"/>
        <v>1.6561604584527223</v>
      </c>
      <c r="U22" s="36"/>
    </row>
    <row r="23" spans="1:22" ht="21.75" customHeight="1" x14ac:dyDescent="0.3">
      <c r="A23" s="7" t="s">
        <v>31</v>
      </c>
      <c r="B23" s="5" t="s">
        <v>35</v>
      </c>
      <c r="C23" s="5" t="s">
        <v>9</v>
      </c>
      <c r="D23" s="1">
        <v>50.5</v>
      </c>
      <c r="E23" s="1">
        <v>15</v>
      </c>
      <c r="F23" s="1">
        <v>10</v>
      </c>
      <c r="G23" s="1">
        <v>31</v>
      </c>
      <c r="H23" s="1">
        <v>1311.35</v>
      </c>
      <c r="I23" s="23"/>
      <c r="J23" s="1">
        <v>66.31</v>
      </c>
      <c r="K23" s="2">
        <f t="shared" si="7"/>
        <v>66.31</v>
      </c>
      <c r="L23" s="23"/>
      <c r="M23" s="1">
        <v>5.15</v>
      </c>
      <c r="N23" s="2">
        <f t="shared" si="0"/>
        <v>5.15</v>
      </c>
      <c r="O23" s="16">
        <v>2.67</v>
      </c>
      <c r="P23" s="2">
        <f t="shared" si="1"/>
        <v>2.4499999999999997</v>
      </c>
      <c r="Q23" s="24"/>
      <c r="R23" s="71">
        <f t="shared" si="2"/>
        <v>1.5</v>
      </c>
      <c r="S23" s="38">
        <f t="shared" si="3"/>
        <v>254.631067961165</v>
      </c>
      <c r="T23" s="38">
        <f t="shared" si="4"/>
        <v>2.1020408163265309</v>
      </c>
      <c r="U23" s="37"/>
    </row>
    <row r="24" spans="1:22" ht="21.75" customHeight="1" x14ac:dyDescent="0.3">
      <c r="A24" s="7" t="s">
        <v>31</v>
      </c>
      <c r="B24" s="5" t="s">
        <v>35</v>
      </c>
      <c r="C24" s="5" t="s">
        <v>10</v>
      </c>
      <c r="D24" s="1">
        <v>42.8</v>
      </c>
      <c r="E24" s="1">
        <v>17</v>
      </c>
      <c r="F24" s="1">
        <v>9</v>
      </c>
      <c r="G24" s="1">
        <v>33</v>
      </c>
      <c r="H24" s="1">
        <v>1444.84</v>
      </c>
      <c r="I24" s="23"/>
      <c r="J24" s="1">
        <v>67.290000000000006</v>
      </c>
      <c r="K24" s="2">
        <f t="shared" si="7"/>
        <v>67.290000000000006</v>
      </c>
      <c r="L24" s="23"/>
      <c r="M24" s="1">
        <v>6.01</v>
      </c>
      <c r="N24" s="2">
        <f t="shared" si="0"/>
        <v>6.01</v>
      </c>
      <c r="O24" s="16">
        <v>2.75</v>
      </c>
      <c r="P24" s="2">
        <f t="shared" si="1"/>
        <v>2.5299999999999998</v>
      </c>
      <c r="Q24" s="24"/>
      <c r="R24" s="71">
        <f t="shared" si="2"/>
        <v>1.8888888888888888</v>
      </c>
      <c r="S24" s="38">
        <f t="shared" si="3"/>
        <v>240.40599001663892</v>
      </c>
      <c r="T24" s="38">
        <f t="shared" si="4"/>
        <v>2.3754940711462451</v>
      </c>
      <c r="U24" s="37"/>
    </row>
    <row r="25" spans="1:22" ht="21.75" customHeight="1" x14ac:dyDescent="0.3">
      <c r="A25" s="7" t="s">
        <v>31</v>
      </c>
      <c r="B25" s="5" t="s">
        <v>35</v>
      </c>
      <c r="C25" s="5" t="s">
        <v>11</v>
      </c>
      <c r="D25" s="1">
        <v>51.1</v>
      </c>
      <c r="E25" s="1">
        <v>16</v>
      </c>
      <c r="F25" s="1">
        <v>8.6999999999999993</v>
      </c>
      <c r="G25" s="1">
        <v>31</v>
      </c>
      <c r="H25" s="1">
        <v>1226.55</v>
      </c>
      <c r="I25" s="23"/>
      <c r="J25" s="1">
        <v>60.49</v>
      </c>
      <c r="K25" s="2">
        <f t="shared" si="7"/>
        <v>60.49</v>
      </c>
      <c r="L25" s="23"/>
      <c r="M25" s="1">
        <v>4.76</v>
      </c>
      <c r="N25" s="2">
        <f t="shared" si="0"/>
        <v>4.76</v>
      </c>
      <c r="O25" s="16">
        <v>1.63</v>
      </c>
      <c r="P25" s="2">
        <f t="shared" si="1"/>
        <v>1.41</v>
      </c>
      <c r="Q25" s="24"/>
      <c r="R25" s="71">
        <f t="shared" si="2"/>
        <v>1.8390804597701151</v>
      </c>
      <c r="S25" s="38">
        <f t="shared" si="3"/>
        <v>257.67857142857144</v>
      </c>
      <c r="T25" s="38">
        <f t="shared" si="4"/>
        <v>3.375886524822695</v>
      </c>
      <c r="U25" s="37"/>
    </row>
    <row r="26" spans="1:22" ht="21.75" customHeight="1" x14ac:dyDescent="0.3">
      <c r="A26" s="7" t="s">
        <v>31</v>
      </c>
      <c r="B26" s="5" t="s">
        <v>35</v>
      </c>
      <c r="C26" s="8" t="s">
        <v>12</v>
      </c>
      <c r="D26" s="1">
        <v>41.9</v>
      </c>
      <c r="E26" s="1">
        <v>17.2</v>
      </c>
      <c r="F26" s="1">
        <v>8.5</v>
      </c>
      <c r="G26" s="1">
        <v>29</v>
      </c>
      <c r="H26" s="1">
        <v>1290.95</v>
      </c>
      <c r="I26" s="23"/>
      <c r="J26" s="1">
        <v>66.52</v>
      </c>
      <c r="K26" s="2">
        <f t="shared" si="7"/>
        <v>66.52</v>
      </c>
      <c r="L26" s="23"/>
      <c r="M26" s="1">
        <v>5.97</v>
      </c>
      <c r="N26" s="2">
        <f t="shared" si="0"/>
        <v>5.97</v>
      </c>
      <c r="O26" s="16">
        <v>1.96</v>
      </c>
      <c r="P26" s="2">
        <f t="shared" si="1"/>
        <v>1.74</v>
      </c>
      <c r="Q26" s="24"/>
      <c r="R26" s="71">
        <f t="shared" si="2"/>
        <v>2.0235294117647058</v>
      </c>
      <c r="S26" s="38">
        <f t="shared" si="3"/>
        <v>216.23953098827474</v>
      </c>
      <c r="T26" s="38">
        <f t="shared" si="4"/>
        <v>3.4310344827586206</v>
      </c>
      <c r="U26" s="37"/>
    </row>
    <row r="27" spans="1:22" ht="21.75" customHeight="1" x14ac:dyDescent="0.3">
      <c r="A27" s="7" t="s">
        <v>31</v>
      </c>
      <c r="B27" s="5" t="s">
        <v>36</v>
      </c>
      <c r="C27" s="5" t="s">
        <v>34</v>
      </c>
      <c r="D27" s="2">
        <v>38.700000000000003</v>
      </c>
      <c r="E27" s="2">
        <v>15</v>
      </c>
      <c r="F27" s="2">
        <v>8</v>
      </c>
      <c r="G27" s="2">
        <v>31</v>
      </c>
      <c r="H27" s="2">
        <v>1367.97</v>
      </c>
      <c r="I27" s="2">
        <v>3.71</v>
      </c>
      <c r="J27" s="2">
        <v>60.19</v>
      </c>
      <c r="K27" s="2">
        <f t="shared" si="7"/>
        <v>63.9</v>
      </c>
      <c r="L27" s="2">
        <v>0.252</v>
      </c>
      <c r="M27" s="2">
        <v>3.99</v>
      </c>
      <c r="N27" s="2">
        <f t="shared" si="0"/>
        <v>4.242</v>
      </c>
      <c r="O27" s="15">
        <v>2.81</v>
      </c>
      <c r="P27" s="2">
        <f t="shared" si="1"/>
        <v>2.59</v>
      </c>
      <c r="Q27" s="15">
        <v>4.0599999999999996</v>
      </c>
      <c r="R27" s="71">
        <f t="shared" si="2"/>
        <v>1.875</v>
      </c>
      <c r="S27" s="38">
        <f t="shared" si="3"/>
        <v>322.48231966053748</v>
      </c>
      <c r="T27" s="38">
        <f t="shared" si="4"/>
        <v>1.637837837837838</v>
      </c>
      <c r="U27" s="33">
        <f t="shared" si="8"/>
        <v>90.808823529411768</v>
      </c>
    </row>
    <row r="28" spans="1:22" ht="21.75" customHeight="1" x14ac:dyDescent="0.3">
      <c r="A28" s="7" t="s">
        <v>31</v>
      </c>
      <c r="B28" s="5" t="s">
        <v>36</v>
      </c>
      <c r="C28" s="5" t="s">
        <v>6</v>
      </c>
      <c r="D28" s="1">
        <v>48.5</v>
      </c>
      <c r="E28" s="1">
        <v>17</v>
      </c>
      <c r="F28" s="1">
        <v>7.5</v>
      </c>
      <c r="G28" s="1">
        <v>30</v>
      </c>
      <c r="H28" s="1">
        <v>1265.74</v>
      </c>
      <c r="I28" s="1">
        <v>4.63</v>
      </c>
      <c r="J28" s="1">
        <v>56.17</v>
      </c>
      <c r="K28" s="2">
        <f t="shared" si="7"/>
        <v>60.800000000000004</v>
      </c>
      <c r="L28" s="1">
        <v>0.248</v>
      </c>
      <c r="M28" s="1">
        <v>3.48</v>
      </c>
      <c r="N28" s="2">
        <f t="shared" si="0"/>
        <v>3.7279999999999998</v>
      </c>
      <c r="O28" s="16">
        <v>2.7</v>
      </c>
      <c r="P28" s="2">
        <f t="shared" si="1"/>
        <v>2.48</v>
      </c>
      <c r="Q28" s="16">
        <v>4.8099999999999996</v>
      </c>
      <c r="R28" s="71">
        <f t="shared" si="2"/>
        <v>2.2666666666666666</v>
      </c>
      <c r="S28" s="38">
        <f t="shared" si="3"/>
        <v>339.52253218884124</v>
      </c>
      <c r="T28" s="38">
        <f t="shared" si="4"/>
        <v>1.5032258064516129</v>
      </c>
      <c r="U28" s="33">
        <f t="shared" si="8"/>
        <v>96.05436212187638</v>
      </c>
    </row>
    <row r="29" spans="1:22" ht="21.75" customHeight="1" x14ac:dyDescent="0.3">
      <c r="A29" s="7" t="s">
        <v>31</v>
      </c>
      <c r="B29" s="5" t="s">
        <v>36</v>
      </c>
      <c r="C29" s="5" t="s">
        <v>7</v>
      </c>
      <c r="D29" s="1">
        <v>33</v>
      </c>
      <c r="E29" s="1">
        <v>16</v>
      </c>
      <c r="F29" s="1">
        <v>8</v>
      </c>
      <c r="G29" s="1">
        <v>29</v>
      </c>
      <c r="H29" s="1">
        <v>949.14</v>
      </c>
      <c r="I29" s="1">
        <v>3.73</v>
      </c>
      <c r="J29" s="1">
        <v>45.27</v>
      </c>
      <c r="K29" s="2">
        <f t="shared" si="7"/>
        <v>49</v>
      </c>
      <c r="L29" s="1">
        <v>0.19800000000000001</v>
      </c>
      <c r="M29" s="1">
        <v>2.69</v>
      </c>
      <c r="N29" s="2">
        <f t="shared" si="0"/>
        <v>2.8879999999999999</v>
      </c>
      <c r="O29" s="16">
        <v>2.16</v>
      </c>
      <c r="P29" s="2">
        <f t="shared" si="1"/>
        <v>1.9400000000000002</v>
      </c>
      <c r="Q29" s="16">
        <v>4.01</v>
      </c>
      <c r="R29" s="71">
        <f t="shared" si="2"/>
        <v>2</v>
      </c>
      <c r="S29" s="38">
        <f t="shared" si="3"/>
        <v>328.64958448753464</v>
      </c>
      <c r="T29" s="38">
        <f t="shared" si="4"/>
        <v>1.4886597938144328</v>
      </c>
      <c r="U29" s="33">
        <f t="shared" si="8"/>
        <v>92.654774396642196</v>
      </c>
      <c r="V29" s="19"/>
    </row>
    <row r="30" spans="1:22" ht="21.75" customHeight="1" x14ac:dyDescent="0.3">
      <c r="A30" s="7" t="s">
        <v>31</v>
      </c>
      <c r="B30" s="5" t="s">
        <v>36</v>
      </c>
      <c r="C30" s="5" t="s">
        <v>8</v>
      </c>
      <c r="D30" s="2">
        <v>42.2</v>
      </c>
      <c r="E30" s="2">
        <v>17</v>
      </c>
      <c r="F30" s="2">
        <v>9.5</v>
      </c>
      <c r="G30" s="2">
        <v>34</v>
      </c>
      <c r="H30" s="2">
        <v>1729.91</v>
      </c>
      <c r="I30" s="23"/>
      <c r="J30" s="2">
        <v>86.89</v>
      </c>
      <c r="K30" s="2">
        <f t="shared" si="7"/>
        <v>86.89</v>
      </c>
      <c r="L30" s="23"/>
      <c r="M30" s="2">
        <v>5.89</v>
      </c>
      <c r="N30" s="2">
        <f t="shared" si="0"/>
        <v>5.89</v>
      </c>
      <c r="O30" s="15">
        <v>2.2400000000000002</v>
      </c>
      <c r="P30" s="2">
        <f t="shared" si="1"/>
        <v>2.02</v>
      </c>
      <c r="Q30" s="24"/>
      <c r="R30" s="71">
        <f t="shared" si="2"/>
        <v>1.7894736842105263</v>
      </c>
      <c r="S30" s="38">
        <f t="shared" si="3"/>
        <v>293.70288624787781</v>
      </c>
      <c r="T30" s="38">
        <f t="shared" si="4"/>
        <v>2.9158415841584158</v>
      </c>
      <c r="U30" s="36"/>
    </row>
    <row r="31" spans="1:22" ht="21.75" customHeight="1" x14ac:dyDescent="0.3">
      <c r="A31" s="7" t="s">
        <v>31</v>
      </c>
      <c r="B31" s="5" t="s">
        <v>36</v>
      </c>
      <c r="C31" s="5" t="s">
        <v>9</v>
      </c>
      <c r="D31" s="1">
        <v>39.200000000000003</v>
      </c>
      <c r="E31" s="1">
        <v>16</v>
      </c>
      <c r="F31" s="1">
        <v>7.5</v>
      </c>
      <c r="G31" s="1">
        <v>31</v>
      </c>
      <c r="H31" s="1">
        <v>1445.85</v>
      </c>
      <c r="I31" s="23"/>
      <c r="J31" s="1">
        <v>70.17</v>
      </c>
      <c r="K31" s="2">
        <f t="shared" si="7"/>
        <v>70.17</v>
      </c>
      <c r="L31" s="23"/>
      <c r="M31" s="1">
        <v>4.6100000000000003</v>
      </c>
      <c r="N31" s="2">
        <f t="shared" si="0"/>
        <v>4.6100000000000003</v>
      </c>
      <c r="O31" s="16">
        <v>1.39</v>
      </c>
      <c r="P31" s="2">
        <f t="shared" si="1"/>
        <v>1.17</v>
      </c>
      <c r="Q31" s="24"/>
      <c r="R31" s="71">
        <f t="shared" si="2"/>
        <v>2.1333333333333333</v>
      </c>
      <c r="S31" s="38">
        <f t="shared" si="3"/>
        <v>313.63340563991318</v>
      </c>
      <c r="T31" s="38">
        <f t="shared" si="4"/>
        <v>3.9401709401709408</v>
      </c>
      <c r="U31" s="37"/>
    </row>
    <row r="32" spans="1:22" ht="21.75" customHeight="1" x14ac:dyDescent="0.3">
      <c r="A32" s="7" t="s">
        <v>31</v>
      </c>
      <c r="B32" s="5" t="s">
        <v>36</v>
      </c>
      <c r="C32" s="5" t="s">
        <v>10</v>
      </c>
      <c r="D32" s="1">
        <v>34.1</v>
      </c>
      <c r="E32" s="1">
        <v>16</v>
      </c>
      <c r="F32" s="1">
        <v>9.4</v>
      </c>
      <c r="G32" s="1">
        <v>33</v>
      </c>
      <c r="H32" s="1">
        <v>1634.65</v>
      </c>
      <c r="I32" s="23"/>
      <c r="J32" s="1">
        <v>87.22</v>
      </c>
      <c r="K32" s="2">
        <f t="shared" si="7"/>
        <v>87.22</v>
      </c>
      <c r="L32" s="23"/>
      <c r="M32" s="1">
        <v>5.67</v>
      </c>
      <c r="N32" s="2">
        <f t="shared" si="0"/>
        <v>5.67</v>
      </c>
      <c r="O32" s="16">
        <v>2.4</v>
      </c>
      <c r="P32" s="2">
        <f t="shared" si="1"/>
        <v>2.1799999999999997</v>
      </c>
      <c r="Q32" s="24"/>
      <c r="R32" s="71">
        <f t="shared" si="2"/>
        <v>1.7021276595744681</v>
      </c>
      <c r="S32" s="38">
        <f t="shared" si="3"/>
        <v>288.29805996472663</v>
      </c>
      <c r="T32" s="38">
        <f t="shared" si="4"/>
        <v>2.6009174311926611</v>
      </c>
      <c r="U32" s="37"/>
    </row>
    <row r="33" spans="1:22" ht="21.75" customHeight="1" x14ac:dyDescent="0.3">
      <c r="A33" s="7" t="s">
        <v>31</v>
      </c>
      <c r="B33" s="5" t="s">
        <v>36</v>
      </c>
      <c r="C33" s="5" t="s">
        <v>11</v>
      </c>
      <c r="D33" s="1">
        <v>35.799999999999997</v>
      </c>
      <c r="E33" s="1">
        <v>16.399999999999999</v>
      </c>
      <c r="F33" s="1">
        <v>7.7</v>
      </c>
      <c r="G33" s="1">
        <v>33</v>
      </c>
      <c r="H33" s="1">
        <v>1315.15</v>
      </c>
      <c r="I33" s="23"/>
      <c r="J33" s="1">
        <v>63.22</v>
      </c>
      <c r="K33" s="2">
        <f t="shared" si="7"/>
        <v>63.22</v>
      </c>
      <c r="L33" s="23"/>
      <c r="M33" s="1">
        <v>3.89</v>
      </c>
      <c r="N33" s="2">
        <f t="shared" si="0"/>
        <v>3.89</v>
      </c>
      <c r="O33" s="16">
        <v>1.01</v>
      </c>
      <c r="P33" s="2">
        <f t="shared" si="1"/>
        <v>0.79</v>
      </c>
      <c r="Q33" s="24"/>
      <c r="R33" s="71">
        <f t="shared" si="2"/>
        <v>2.1298701298701297</v>
      </c>
      <c r="S33" s="38">
        <f t="shared" si="3"/>
        <v>338.08483290488431</v>
      </c>
      <c r="T33" s="38">
        <f t="shared" si="4"/>
        <v>4.924050632911392</v>
      </c>
      <c r="U33" s="37"/>
    </row>
    <row r="34" spans="1:22" ht="21.75" customHeight="1" x14ac:dyDescent="0.3">
      <c r="A34" s="7" t="s">
        <v>31</v>
      </c>
      <c r="B34" s="5" t="s">
        <v>36</v>
      </c>
      <c r="C34" s="8" t="s">
        <v>12</v>
      </c>
      <c r="D34" s="1">
        <v>43.6</v>
      </c>
      <c r="E34" s="1">
        <v>16.5</v>
      </c>
      <c r="F34" s="1">
        <v>7.9</v>
      </c>
      <c r="G34" s="1">
        <v>30</v>
      </c>
      <c r="H34" s="1">
        <v>1075.8599999999999</v>
      </c>
      <c r="I34" s="23"/>
      <c r="J34" s="1">
        <v>49.6</v>
      </c>
      <c r="K34" s="2">
        <f t="shared" si="7"/>
        <v>49.6</v>
      </c>
      <c r="L34" s="23"/>
      <c r="M34" s="1">
        <v>3.5</v>
      </c>
      <c r="N34" s="2">
        <f t="shared" si="0"/>
        <v>3.5</v>
      </c>
      <c r="O34" s="16">
        <v>3.16</v>
      </c>
      <c r="P34" s="2">
        <f t="shared" si="1"/>
        <v>2.94</v>
      </c>
      <c r="Q34" s="24"/>
      <c r="R34" s="71">
        <f t="shared" si="2"/>
        <v>2.0886075949367089</v>
      </c>
      <c r="S34" s="38">
        <f t="shared" si="3"/>
        <v>307.38857142857142</v>
      </c>
      <c r="T34" s="38">
        <f t="shared" si="4"/>
        <v>1.1904761904761905</v>
      </c>
      <c r="U34" s="37"/>
    </row>
    <row r="35" spans="1:22" ht="21.75" customHeight="1" x14ac:dyDescent="0.3">
      <c r="A35" s="7" t="s">
        <v>31</v>
      </c>
      <c r="B35" s="5" t="s">
        <v>37</v>
      </c>
      <c r="C35" s="5" t="s">
        <v>34</v>
      </c>
      <c r="D35" s="2">
        <v>37</v>
      </c>
      <c r="E35" s="2">
        <v>17</v>
      </c>
      <c r="F35" s="2">
        <v>8.5</v>
      </c>
      <c r="G35" s="2">
        <v>35</v>
      </c>
      <c r="H35" s="2">
        <v>1585.15</v>
      </c>
      <c r="I35" s="2">
        <v>4.49</v>
      </c>
      <c r="J35" s="2">
        <v>74.89</v>
      </c>
      <c r="K35" s="2">
        <f t="shared" si="7"/>
        <v>79.38</v>
      </c>
      <c r="L35" s="2">
        <v>0.33800000000000002</v>
      </c>
      <c r="M35" s="2">
        <v>5.48</v>
      </c>
      <c r="N35" s="2">
        <f t="shared" si="0"/>
        <v>5.8180000000000005</v>
      </c>
      <c r="O35" s="15">
        <v>2.54</v>
      </c>
      <c r="P35" s="2">
        <f t="shared" si="1"/>
        <v>2.3199999999999998</v>
      </c>
      <c r="Q35" s="15">
        <v>4.67</v>
      </c>
      <c r="R35" s="71">
        <f t="shared" si="2"/>
        <v>2</v>
      </c>
      <c r="S35" s="38">
        <f t="shared" si="3"/>
        <v>272.45617050532826</v>
      </c>
      <c r="T35" s="38">
        <f t="shared" si="4"/>
        <v>2.5077586206896556</v>
      </c>
      <c r="U35" s="33">
        <f t="shared" si="8"/>
        <v>95.844875346260395</v>
      </c>
    </row>
    <row r="36" spans="1:22" ht="21.75" customHeight="1" x14ac:dyDescent="0.3">
      <c r="A36" s="7" t="s">
        <v>31</v>
      </c>
      <c r="B36" s="5" t="s">
        <v>37</v>
      </c>
      <c r="C36" s="5" t="s">
        <v>6</v>
      </c>
      <c r="D36" s="1">
        <v>37.1</v>
      </c>
      <c r="E36" s="1">
        <v>15.5</v>
      </c>
      <c r="F36" s="1">
        <v>7</v>
      </c>
      <c r="G36" s="1">
        <v>33</v>
      </c>
      <c r="H36" s="1">
        <v>1094.48</v>
      </c>
      <c r="I36" s="1">
        <v>3.67</v>
      </c>
      <c r="J36" s="1">
        <v>53.49</v>
      </c>
      <c r="K36" s="2">
        <f t="shared" si="7"/>
        <v>57.160000000000004</v>
      </c>
      <c r="L36" s="1">
        <v>0.20300000000000001</v>
      </c>
      <c r="M36" s="1">
        <v>3.2</v>
      </c>
      <c r="N36" s="2">
        <f t="shared" si="0"/>
        <v>3.403</v>
      </c>
      <c r="O36" s="16">
        <v>1.48</v>
      </c>
      <c r="P36" s="2">
        <f t="shared" si="1"/>
        <v>1.26</v>
      </c>
      <c r="Q36" s="16">
        <v>3.9</v>
      </c>
      <c r="R36" s="71">
        <f t="shared" si="2"/>
        <v>2.2142857142857144</v>
      </c>
      <c r="S36" s="38">
        <f t="shared" si="3"/>
        <v>321.62209814869232</v>
      </c>
      <c r="T36" s="38">
        <f t="shared" si="4"/>
        <v>2.700793650793651</v>
      </c>
      <c r="U36" s="33">
        <f t="shared" si="8"/>
        <v>93.778739518528539</v>
      </c>
    </row>
    <row r="37" spans="1:22" ht="21.75" customHeight="1" x14ac:dyDescent="0.3">
      <c r="A37" s="7" t="s">
        <v>31</v>
      </c>
      <c r="B37" s="5" t="s">
        <v>37</v>
      </c>
      <c r="C37" s="5" t="s">
        <v>7</v>
      </c>
      <c r="D37" s="1">
        <v>30.5</v>
      </c>
      <c r="E37" s="21">
        <v>15</v>
      </c>
      <c r="F37" s="1">
        <v>7.5</v>
      </c>
      <c r="G37" s="1">
        <v>27</v>
      </c>
      <c r="H37" s="1">
        <v>888.28</v>
      </c>
      <c r="I37" s="1">
        <v>4.4800000000000004</v>
      </c>
      <c r="J37" s="1">
        <v>42.2</v>
      </c>
      <c r="K37" s="2">
        <f t="shared" si="7"/>
        <v>46.680000000000007</v>
      </c>
      <c r="L37" s="1">
        <v>0.23599999999999999</v>
      </c>
      <c r="M37" s="1">
        <v>2.37</v>
      </c>
      <c r="N37" s="2">
        <f t="shared" si="0"/>
        <v>2.6059999999999999</v>
      </c>
      <c r="O37" s="16">
        <v>1.25</v>
      </c>
      <c r="P37" s="2">
        <f t="shared" si="1"/>
        <v>1.03</v>
      </c>
      <c r="Q37" s="16">
        <v>4.8099999999999996</v>
      </c>
      <c r="R37" s="71">
        <f t="shared" si="2"/>
        <v>2</v>
      </c>
      <c r="S37" s="38">
        <f t="shared" si="3"/>
        <v>340.85955487336918</v>
      </c>
      <c r="T37" s="38">
        <f t="shared" si="4"/>
        <v>2.5300970873786408</v>
      </c>
      <c r="U37" s="33">
        <f t="shared" si="8"/>
        <v>92.785308264101459</v>
      </c>
      <c r="V37" s="19"/>
    </row>
    <row r="38" spans="1:22" ht="21.75" customHeight="1" x14ac:dyDescent="0.3">
      <c r="A38" s="7" t="s">
        <v>31</v>
      </c>
      <c r="B38" s="5" t="s">
        <v>37</v>
      </c>
      <c r="C38" s="5" t="s">
        <v>8</v>
      </c>
      <c r="D38" s="2">
        <v>48.6</v>
      </c>
      <c r="E38" s="1">
        <v>16</v>
      </c>
      <c r="F38" s="2">
        <v>8</v>
      </c>
      <c r="G38" s="2">
        <v>28</v>
      </c>
      <c r="H38" s="2">
        <v>1145.1099999999999</v>
      </c>
      <c r="I38" s="23"/>
      <c r="J38" s="2">
        <v>55.62</v>
      </c>
      <c r="K38" s="2">
        <f t="shared" si="7"/>
        <v>55.62</v>
      </c>
      <c r="L38" s="23"/>
      <c r="M38" s="2">
        <v>3.51</v>
      </c>
      <c r="N38" s="2">
        <f t="shared" si="0"/>
        <v>3.51</v>
      </c>
      <c r="O38" s="15">
        <v>1.05</v>
      </c>
      <c r="P38" s="2">
        <f t="shared" si="1"/>
        <v>0.83000000000000007</v>
      </c>
      <c r="Q38" s="24"/>
      <c r="R38" s="71">
        <f t="shared" si="2"/>
        <v>2</v>
      </c>
      <c r="S38" s="38">
        <f t="shared" si="3"/>
        <v>326.24216524216524</v>
      </c>
      <c r="T38" s="38">
        <f t="shared" si="4"/>
        <v>4.2289156626506017</v>
      </c>
      <c r="U38" s="36"/>
    </row>
    <row r="39" spans="1:22" ht="21.75" customHeight="1" x14ac:dyDescent="0.3">
      <c r="A39" s="7" t="s">
        <v>31</v>
      </c>
      <c r="B39" s="5" t="s">
        <v>37</v>
      </c>
      <c r="C39" s="5" t="s">
        <v>9</v>
      </c>
      <c r="D39" s="1">
        <v>37.6</v>
      </c>
      <c r="E39" s="2">
        <v>14</v>
      </c>
      <c r="F39" s="1">
        <v>7</v>
      </c>
      <c r="G39" s="1">
        <v>28</v>
      </c>
      <c r="H39" s="1">
        <v>934.92</v>
      </c>
      <c r="I39" s="23"/>
      <c r="J39" s="1">
        <v>43.62</v>
      </c>
      <c r="K39" s="2">
        <f t="shared" si="7"/>
        <v>43.62</v>
      </c>
      <c r="L39" s="23"/>
      <c r="M39" s="1">
        <v>3.02</v>
      </c>
      <c r="N39" s="2">
        <f t="shared" si="0"/>
        <v>3.02</v>
      </c>
      <c r="O39" s="16">
        <v>1.74</v>
      </c>
      <c r="P39" s="2">
        <f t="shared" si="1"/>
        <v>1.52</v>
      </c>
      <c r="Q39" s="24"/>
      <c r="R39" s="71">
        <f t="shared" si="2"/>
        <v>2</v>
      </c>
      <c r="S39" s="38">
        <f t="shared" si="3"/>
        <v>309.57615894039736</v>
      </c>
      <c r="T39" s="38">
        <f t="shared" si="4"/>
        <v>1.986842105263158</v>
      </c>
      <c r="U39" s="37"/>
    </row>
    <row r="40" spans="1:22" ht="21.75" customHeight="1" x14ac:dyDescent="0.3">
      <c r="A40" s="7" t="s">
        <v>31</v>
      </c>
      <c r="B40" s="5" t="s">
        <v>37</v>
      </c>
      <c r="C40" s="5" t="s">
        <v>10</v>
      </c>
      <c r="D40" s="1">
        <v>36.200000000000003</v>
      </c>
      <c r="E40" s="1">
        <v>16.399999999999999</v>
      </c>
      <c r="F40" s="1">
        <v>8.6999999999999993</v>
      </c>
      <c r="G40" s="1">
        <v>31</v>
      </c>
      <c r="H40" s="1">
        <v>1312.42</v>
      </c>
      <c r="I40" s="23"/>
      <c r="J40" s="1">
        <v>63.97</v>
      </c>
      <c r="K40" s="2">
        <f t="shared" si="7"/>
        <v>63.97</v>
      </c>
      <c r="L40" s="23"/>
      <c r="M40" s="1">
        <v>4.71</v>
      </c>
      <c r="N40" s="2">
        <f t="shared" si="0"/>
        <v>4.71</v>
      </c>
      <c r="O40" s="16">
        <v>2.0499999999999998</v>
      </c>
      <c r="P40" s="2">
        <f t="shared" si="1"/>
        <v>1.8299999999999998</v>
      </c>
      <c r="Q40" s="24"/>
      <c r="R40" s="71">
        <f t="shared" si="2"/>
        <v>1.8850574712643677</v>
      </c>
      <c r="S40" s="38">
        <f t="shared" si="3"/>
        <v>278.64543524416138</v>
      </c>
      <c r="T40" s="38">
        <f t="shared" si="4"/>
        <v>2.5737704918032787</v>
      </c>
      <c r="U40" s="37"/>
    </row>
    <row r="41" spans="1:22" ht="21.75" customHeight="1" x14ac:dyDescent="0.3">
      <c r="A41" s="7" t="s">
        <v>31</v>
      </c>
      <c r="B41" s="5" t="s">
        <v>37</v>
      </c>
      <c r="C41" s="5" t="s">
        <v>11</v>
      </c>
      <c r="D41" s="1">
        <v>35</v>
      </c>
      <c r="E41" s="1">
        <v>13.6</v>
      </c>
      <c r="F41" s="1">
        <v>7.2</v>
      </c>
      <c r="G41" s="1">
        <v>35</v>
      </c>
      <c r="H41" s="1">
        <v>1167.74</v>
      </c>
      <c r="I41" s="23"/>
      <c r="J41" s="1">
        <v>53.33</v>
      </c>
      <c r="K41" s="2">
        <f t="shared" si="7"/>
        <v>53.33</v>
      </c>
      <c r="L41" s="23"/>
      <c r="M41" s="1">
        <v>3.29</v>
      </c>
      <c r="N41" s="2">
        <f t="shared" si="0"/>
        <v>3.29</v>
      </c>
      <c r="O41" s="16">
        <v>1.21</v>
      </c>
      <c r="P41" s="2">
        <f t="shared" si="1"/>
        <v>0.99</v>
      </c>
      <c r="Q41" s="24"/>
      <c r="R41" s="71">
        <f t="shared" si="2"/>
        <v>1.8888888888888888</v>
      </c>
      <c r="S41" s="38">
        <f t="shared" si="3"/>
        <v>354.93617021276594</v>
      </c>
      <c r="T41" s="38">
        <f t="shared" si="4"/>
        <v>3.3232323232323231</v>
      </c>
      <c r="U41" s="37"/>
    </row>
    <row r="42" spans="1:22" ht="21.75" customHeight="1" x14ac:dyDescent="0.3">
      <c r="A42" s="7" t="s">
        <v>31</v>
      </c>
      <c r="B42" s="5" t="s">
        <v>37</v>
      </c>
      <c r="C42" s="8" t="s">
        <v>12</v>
      </c>
      <c r="D42" s="1">
        <v>39.4</v>
      </c>
      <c r="E42" s="1">
        <v>14.1</v>
      </c>
      <c r="F42" s="1">
        <v>7.6</v>
      </c>
      <c r="G42" s="1">
        <v>26</v>
      </c>
      <c r="H42" s="1">
        <v>976.98</v>
      </c>
      <c r="I42" s="23"/>
      <c r="J42" s="1">
        <v>43.72</v>
      </c>
      <c r="K42" s="2">
        <f t="shared" si="7"/>
        <v>43.72</v>
      </c>
      <c r="L42" s="23"/>
      <c r="M42" s="1">
        <v>3.16</v>
      </c>
      <c r="N42" s="2">
        <f t="shared" si="0"/>
        <v>3.16</v>
      </c>
      <c r="O42" s="16">
        <v>2</v>
      </c>
      <c r="P42" s="2">
        <f t="shared" si="1"/>
        <v>1.78</v>
      </c>
      <c r="Q42" s="24"/>
      <c r="R42" s="71">
        <f t="shared" si="2"/>
        <v>1.8552631578947369</v>
      </c>
      <c r="S42" s="38">
        <f t="shared" si="3"/>
        <v>309.17088607594934</v>
      </c>
      <c r="T42" s="38">
        <f t="shared" si="4"/>
        <v>1.7752808988764046</v>
      </c>
      <c r="U42" s="37"/>
    </row>
    <row r="43" spans="1:22" x14ac:dyDescent="0.3">
      <c r="B43" s="3"/>
      <c r="C43" s="3"/>
    </row>
    <row r="44" spans="1:22" x14ac:dyDescent="0.3">
      <c r="B44" s="3"/>
      <c r="C44" s="3"/>
    </row>
  </sheetData>
  <mergeCells count="18">
    <mergeCell ref="S1:S2"/>
    <mergeCell ref="R1:R2"/>
    <mergeCell ref="T1:T2"/>
    <mergeCell ref="W1:Z1"/>
    <mergeCell ref="B1:B2"/>
    <mergeCell ref="A1:A2"/>
    <mergeCell ref="D1:D2"/>
    <mergeCell ref="G1:G2"/>
    <mergeCell ref="H1:H2"/>
    <mergeCell ref="E1:E2"/>
    <mergeCell ref="F1:F2"/>
    <mergeCell ref="C1:C2"/>
    <mergeCell ref="I1:K1"/>
    <mergeCell ref="U1:U2"/>
    <mergeCell ref="L1:N1"/>
    <mergeCell ref="O1:O2"/>
    <mergeCell ref="Q1:Q2"/>
    <mergeCell ref="P1:P2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38F3-F88A-40B0-AA6A-4E8559EC8133}">
  <dimension ref="A1:T7"/>
  <sheetViews>
    <sheetView workbookViewId="0">
      <selection activeCell="U1" sqref="U1"/>
    </sheetView>
  </sheetViews>
  <sheetFormatPr defaultRowHeight="16.5" x14ac:dyDescent="0.3"/>
  <cols>
    <col min="1" max="1" width="10.375" style="25" customWidth="1"/>
    <col min="2" max="2" width="10" style="26" customWidth="1"/>
    <col min="3" max="6" width="8.125" style="28" customWidth="1"/>
    <col min="7" max="7" width="9.625" style="28" customWidth="1"/>
    <col min="8" max="13" width="10.625" style="28" customWidth="1"/>
    <col min="14" max="15" width="13" style="28" customWidth="1"/>
    <col min="16" max="20" width="10.625" style="28" customWidth="1"/>
  </cols>
  <sheetData>
    <row r="1" spans="1:20" ht="20.25" customHeight="1" x14ac:dyDescent="0.3">
      <c r="A1" s="55" t="s">
        <v>13</v>
      </c>
      <c r="B1" s="57" t="s">
        <v>14</v>
      </c>
      <c r="C1" s="58" t="s">
        <v>2</v>
      </c>
      <c r="D1" s="58" t="s">
        <v>3</v>
      </c>
      <c r="E1" s="58" t="s">
        <v>4</v>
      </c>
      <c r="F1" s="58" t="s">
        <v>0</v>
      </c>
      <c r="G1" s="61" t="s">
        <v>1</v>
      </c>
      <c r="H1" s="63" t="s">
        <v>25</v>
      </c>
      <c r="I1" s="63"/>
      <c r="J1" s="64"/>
      <c r="K1" s="65" t="s">
        <v>26</v>
      </c>
      <c r="L1" s="63"/>
      <c r="M1" s="64"/>
      <c r="N1" s="60" t="s">
        <v>38</v>
      </c>
      <c r="O1" s="60" t="s">
        <v>28</v>
      </c>
      <c r="P1" s="73" t="s">
        <v>30</v>
      </c>
      <c r="Q1" s="70" t="s">
        <v>41</v>
      </c>
      <c r="R1" s="40" t="s">
        <v>39</v>
      </c>
      <c r="S1" s="40" t="s">
        <v>40</v>
      </c>
      <c r="T1" s="60" t="s">
        <v>27</v>
      </c>
    </row>
    <row r="2" spans="1:20" ht="20.25" customHeight="1" thickBot="1" x14ac:dyDescent="0.35">
      <c r="A2" s="56"/>
      <c r="B2" s="46"/>
      <c r="C2" s="59"/>
      <c r="D2" s="59"/>
      <c r="E2" s="59"/>
      <c r="F2" s="59"/>
      <c r="G2" s="62"/>
      <c r="H2" s="27" t="s">
        <v>24</v>
      </c>
      <c r="I2" s="27" t="s">
        <v>22</v>
      </c>
      <c r="J2" s="27" t="s">
        <v>23</v>
      </c>
      <c r="K2" s="27" t="s">
        <v>24</v>
      </c>
      <c r="L2" s="27" t="s">
        <v>22</v>
      </c>
      <c r="M2" s="27" t="s">
        <v>23</v>
      </c>
      <c r="N2" s="59"/>
      <c r="O2" s="66"/>
      <c r="P2" s="74"/>
      <c r="Q2" s="69"/>
      <c r="R2" s="50"/>
      <c r="S2" s="41"/>
      <c r="T2" s="59"/>
    </row>
    <row r="3" spans="1:20" ht="21.75" customHeight="1" thickTop="1" x14ac:dyDescent="0.3">
      <c r="A3" s="31" t="s">
        <v>17</v>
      </c>
      <c r="B3" s="31" t="s">
        <v>16</v>
      </c>
      <c r="C3" s="32">
        <f>AVERAGE('파괴조사 데이터'!D3:D10)</f>
        <v>40.175000000000004</v>
      </c>
      <c r="D3" s="32">
        <f>AVERAGE('파괴조사 데이터'!E3:E10)</f>
        <v>13.125</v>
      </c>
      <c r="E3" s="32">
        <f>AVERAGE('파괴조사 데이터'!F3:F10)</f>
        <v>6.95</v>
      </c>
      <c r="F3" s="32">
        <f>AVERAGE('파괴조사 데이터'!G3:G10)</f>
        <v>13.375</v>
      </c>
      <c r="G3" s="32">
        <f>AVERAGE('파괴조사 데이터'!H3:H10)</f>
        <v>260.65875</v>
      </c>
      <c r="H3" s="32">
        <f>AVERAGE('파괴조사 데이터'!I3:I10)</f>
        <v>2.1637500000000003</v>
      </c>
      <c r="I3" s="32">
        <f>AVERAGE('파괴조사 데이터'!J3:J10)</f>
        <v>7.8650000000000011</v>
      </c>
      <c r="J3" s="32">
        <f>AVERAGE('파괴조사 데이터'!K3:K10)</f>
        <v>10.028749999999999</v>
      </c>
      <c r="K3" s="32">
        <f>AVERAGE('파괴조사 데이터'!L3:L10)</f>
        <v>0.10975</v>
      </c>
      <c r="L3" s="32">
        <f>AVERAGE('파괴조사 데이터'!M3:M10)</f>
        <v>0.46212500000000001</v>
      </c>
      <c r="M3" s="32">
        <f>AVERAGE('파괴조사 데이터'!N3:N10)</f>
        <v>0.57187500000000002</v>
      </c>
      <c r="N3" s="32">
        <f>AVERAGE('파괴조사 데이터'!O3:O10)</f>
        <v>0.91425000000000001</v>
      </c>
      <c r="O3" s="32">
        <f>AVERAGE('파괴조사 데이터'!P3:P10)</f>
        <v>0.69425000000000014</v>
      </c>
      <c r="P3" s="75">
        <f>AVERAGE('파괴조사 데이터'!Q3:Q10)</f>
        <v>2.4250000000000003</v>
      </c>
      <c r="Q3" s="78">
        <f>AVERAGE('파괴조사 데이터'!R3:R10)</f>
        <v>1.8792506522628436</v>
      </c>
      <c r="R3" s="32">
        <f>AVERAGE('파괴조사 데이터'!S3:S10)</f>
        <v>454.1422134067243</v>
      </c>
      <c r="S3" s="32">
        <f>AVERAGE('파괴조사 데이터'!T3:T10)</f>
        <v>0.92358229161625327</v>
      </c>
      <c r="T3" s="32">
        <f>AVERAGE('파괴조사 데이터'!U3:U10)</f>
        <v>88.053134917600232</v>
      </c>
    </row>
    <row r="4" spans="1:20" ht="21.75" customHeight="1" x14ac:dyDescent="0.3">
      <c r="A4" s="8" t="s">
        <v>32</v>
      </c>
      <c r="B4" s="8" t="s">
        <v>16</v>
      </c>
      <c r="C4" s="29">
        <f>AVERAGE('파괴조사 데이터'!D11:D18)</f>
        <v>43.1875</v>
      </c>
      <c r="D4" s="29">
        <f>AVERAGE('파괴조사 데이터'!E11:E18)</f>
        <v>16.25</v>
      </c>
      <c r="E4" s="29">
        <f>AVERAGE('파괴조사 데이터'!F11:F18)</f>
        <v>9</v>
      </c>
      <c r="F4" s="29">
        <f>AVERAGE('파괴조사 데이터'!G11:G18)</f>
        <v>35.625</v>
      </c>
      <c r="G4" s="29">
        <f>AVERAGE('파괴조사 데이터'!H11:H18)</f>
        <v>1599.33375</v>
      </c>
      <c r="H4" s="29">
        <f>AVERAGE('파괴조사 데이터'!I11:I18)</f>
        <v>6.6099999999999994</v>
      </c>
      <c r="I4" s="29">
        <f>AVERAGE('파괴조사 데이터'!J11:J18)</f>
        <v>87.406249999999986</v>
      </c>
      <c r="J4" s="29">
        <f>AVERAGE('파괴조사 데이터'!K11:K18)</f>
        <v>89.884999999999991</v>
      </c>
      <c r="K4" s="29">
        <f>AVERAGE('파괴조사 데이터'!L11:L18)</f>
        <v>0.46766666666666667</v>
      </c>
      <c r="L4" s="29">
        <f>AVERAGE('파괴조사 데이터'!M11:M18)</f>
        <v>6.2962499999999997</v>
      </c>
      <c r="M4" s="29">
        <f>AVERAGE('파괴조사 데이터'!N11:N18)</f>
        <v>6.4716250000000004</v>
      </c>
      <c r="N4" s="29">
        <f>AVERAGE('파괴조사 데이터'!O11:O18)</f>
        <v>4.6787499999999991</v>
      </c>
      <c r="O4" s="29">
        <f>AVERAGE('파괴조사 데이터'!P11:P18)</f>
        <v>4.4587500000000002</v>
      </c>
      <c r="P4" s="76">
        <f>AVERAGE('파괴조사 데이터'!Q11:Q18)</f>
        <v>7.18</v>
      </c>
      <c r="Q4" s="77">
        <f>AVERAGE('파괴조사 데이터'!R4:R11)</f>
        <v>1.8685668915790827</v>
      </c>
      <c r="R4" s="29">
        <f>AVERAGE('파괴조사 데이터'!S11:S18)</f>
        <v>252.48465094305766</v>
      </c>
      <c r="S4" s="29">
        <f>AVERAGE('파괴조사 데이터'!T11:T18)</f>
        <v>1.6225261776887869</v>
      </c>
      <c r="T4" s="29">
        <f>AVERAGE('파괴조사 데이터'!U11:U18)</f>
        <v>92.13479505510918</v>
      </c>
    </row>
    <row r="5" spans="1:20" ht="21.75" customHeight="1" x14ac:dyDescent="0.3">
      <c r="A5" s="8" t="s">
        <v>32</v>
      </c>
      <c r="B5" s="30" t="s">
        <v>35</v>
      </c>
      <c r="C5" s="32">
        <f>AVERAGE('파괴조사 데이터'!D19:D26)</f>
        <v>44.487499999999997</v>
      </c>
      <c r="D5" s="32">
        <f>AVERAGE('파괴조사 데이터'!E19:E26)</f>
        <v>16.274999999999999</v>
      </c>
      <c r="E5" s="32">
        <f>AVERAGE('파괴조사 데이터'!F19:F26)</f>
        <v>8.9749999999999996</v>
      </c>
      <c r="F5" s="32">
        <f>AVERAGE('파괴조사 데이터'!G19:G26)</f>
        <v>31.125</v>
      </c>
      <c r="G5" s="32">
        <f>AVERAGE('파괴조사 데이터'!H19:H26)</f>
        <v>1289.3025</v>
      </c>
      <c r="H5" s="32">
        <f>AVERAGE('파괴조사 데이터'!I19:I26)</f>
        <v>4.666666666666667</v>
      </c>
      <c r="I5" s="32">
        <f>AVERAGE('파괴조사 데이터'!J19:J26)</f>
        <v>61.721250000000005</v>
      </c>
      <c r="J5" s="32">
        <f>AVERAGE('파괴조사 데이터'!K19:K26)</f>
        <v>63.471250000000005</v>
      </c>
      <c r="K5" s="32">
        <f>AVERAGE('파괴조사 데이터'!L19:L26)</f>
        <v>0.36133333333333334</v>
      </c>
      <c r="L5" s="32">
        <f>AVERAGE('파괴조사 데이터'!M19:M26)</f>
        <v>5.294999999999999</v>
      </c>
      <c r="M5" s="32">
        <f>AVERAGE('파괴조사 데이터'!N19:N26)</f>
        <v>5.4304999999999994</v>
      </c>
      <c r="N5" s="32">
        <f>AVERAGE('파괴조사 데이터'!O19:O26)</f>
        <v>2.9250000000000003</v>
      </c>
      <c r="O5" s="32">
        <f>AVERAGE('파괴조사 데이터'!P19:P26)</f>
        <v>2.7049999999999996</v>
      </c>
      <c r="P5" s="75">
        <f>AVERAGE('파괴조사 데이터'!Q19:Q26)</f>
        <v>5.16</v>
      </c>
      <c r="Q5" s="77">
        <f>AVERAGE('파괴조사 데이터'!R5:R12)</f>
        <v>1.8116589968422407</v>
      </c>
      <c r="R5" s="32">
        <f>AVERAGE('파괴조사 데이터'!S19:S26)</f>
        <v>238.73636987966299</v>
      </c>
      <c r="S5" s="32">
        <f>AVERAGE('파괴조사 데이터'!T19:T26)</f>
        <v>2.2683140910227575</v>
      </c>
      <c r="T5" s="32">
        <f>AVERAGE('파괴조사 데이터'!U19:U26)</f>
        <v>90.028970920831</v>
      </c>
    </row>
    <row r="6" spans="1:20" ht="21.75" customHeight="1" x14ac:dyDescent="0.3">
      <c r="A6" s="8" t="s">
        <v>32</v>
      </c>
      <c r="B6" s="30" t="s">
        <v>36</v>
      </c>
      <c r="C6" s="29">
        <f>AVERAGE('파괴조사 데이터'!D27:D34)</f>
        <v>39.387500000000003</v>
      </c>
      <c r="D6" s="29">
        <f>AVERAGE('파괴조사 데이터'!E27:E34)</f>
        <v>16.237500000000001</v>
      </c>
      <c r="E6" s="29">
        <f>AVERAGE('파괴조사 데이터'!F27:F34)</f>
        <v>8.1875</v>
      </c>
      <c r="F6" s="29">
        <f>AVERAGE('파괴조사 데이터'!G27:G34)</f>
        <v>31.375</v>
      </c>
      <c r="G6" s="29">
        <f>AVERAGE('파괴조사 데이터'!H27:H34)</f>
        <v>1348.0337500000001</v>
      </c>
      <c r="H6" s="29">
        <f>AVERAGE('파괴조사 데이터'!I27:I34)</f>
        <v>4.0233333333333334</v>
      </c>
      <c r="I6" s="29">
        <f>AVERAGE('파괴조사 데이터'!J27:J34)</f>
        <v>64.841250000000002</v>
      </c>
      <c r="J6" s="29">
        <f>AVERAGE('파괴조사 데이터'!K27:K34)</f>
        <v>66.350000000000009</v>
      </c>
      <c r="K6" s="29">
        <f>AVERAGE('파괴조사 데이터'!L27:L34)</f>
        <v>0.23266666666666666</v>
      </c>
      <c r="L6" s="29">
        <f>AVERAGE('파괴조사 데이터'!M27:M34)</f>
        <v>4.2149999999999999</v>
      </c>
      <c r="M6" s="29">
        <f>AVERAGE('파괴조사 데이터'!N27:N34)</f>
        <v>4.3022499999999999</v>
      </c>
      <c r="N6" s="29">
        <f>AVERAGE('파괴조사 데이터'!O27:O34)</f>
        <v>2.2337500000000001</v>
      </c>
      <c r="O6" s="29">
        <f>AVERAGE('파괴조사 데이터'!P27:P34)</f>
        <v>2.0137500000000004</v>
      </c>
      <c r="P6" s="76">
        <f>AVERAGE('파괴조사 데이터'!Q27:Q34)</f>
        <v>4.293333333333333</v>
      </c>
      <c r="Q6" s="77">
        <f>AVERAGE('파괴조사 데이터'!R6:R13)</f>
        <v>1.752405750088994</v>
      </c>
      <c r="R6" s="29">
        <f>AVERAGE('파괴조사 데이터'!S27:S34)</f>
        <v>316.47027406536091</v>
      </c>
      <c r="S6" s="29">
        <f>AVERAGE('파괴조사 데이터'!T27:T34)</f>
        <v>2.5251475271266854</v>
      </c>
      <c r="T6" s="29">
        <f>AVERAGE('파괴조사 데이터'!U27:U34)</f>
        <v>93.17265334931011</v>
      </c>
    </row>
    <row r="7" spans="1:20" ht="21.75" customHeight="1" x14ac:dyDescent="0.3">
      <c r="A7" s="8" t="s">
        <v>32</v>
      </c>
      <c r="B7" s="30" t="s">
        <v>37</v>
      </c>
      <c r="C7" s="32">
        <f>AVERAGE('파괴조사 데이터'!D35:D42)</f>
        <v>37.674999999999997</v>
      </c>
      <c r="D7" s="32">
        <f>AVERAGE('파괴조사 데이터'!E35:E42)</f>
        <v>15.2</v>
      </c>
      <c r="E7" s="32">
        <f>AVERAGE('파괴조사 데이터'!F35:F42)</f>
        <v>7.6875000000000009</v>
      </c>
      <c r="F7" s="32">
        <f>AVERAGE('파괴조사 데이터'!G35:G42)</f>
        <v>30.375</v>
      </c>
      <c r="G7" s="32">
        <f>AVERAGE('파괴조사 데이터'!H35:H42)</f>
        <v>1138.135</v>
      </c>
      <c r="H7" s="32">
        <f>AVERAGE('파괴조사 데이터'!I35:I42)</f>
        <v>4.2133333333333338</v>
      </c>
      <c r="I7" s="32">
        <f>AVERAGE('파괴조사 데이터'!J35:J42)</f>
        <v>53.85499999999999</v>
      </c>
      <c r="J7" s="32">
        <f>AVERAGE('파괴조사 데이터'!K35:K42)</f>
        <v>55.434999999999988</v>
      </c>
      <c r="K7" s="32">
        <f>AVERAGE('파괴조사 데이터'!L35:L42)</f>
        <v>0.25900000000000001</v>
      </c>
      <c r="L7" s="32">
        <f>AVERAGE('파괴조사 데이터'!M35:M42)</f>
        <v>3.5925000000000002</v>
      </c>
      <c r="M7" s="32">
        <f>AVERAGE('파괴조사 데이터'!N35:N42)</f>
        <v>3.6896249999999999</v>
      </c>
      <c r="N7" s="32">
        <f>AVERAGE('파괴조사 데이터'!O35:O42)</f>
        <v>1.665</v>
      </c>
      <c r="O7" s="32">
        <f>AVERAGE('파괴조사 데이터'!P35:P42)</f>
        <v>1.4450000000000001</v>
      </c>
      <c r="P7" s="75">
        <f>AVERAGE('파괴조사 데이터'!Q35:Q42)</f>
        <v>4.46</v>
      </c>
      <c r="Q7" s="77">
        <f>AVERAGE('파괴조사 데이터'!R7:R14)</f>
        <v>1.7489335278667717</v>
      </c>
      <c r="R7" s="32">
        <f>AVERAGE('파괴조사 데이터'!S35:S42)</f>
        <v>314.18857990535366</v>
      </c>
      <c r="S7" s="32">
        <f>AVERAGE('파괴조사 데이터'!T35:T42)</f>
        <v>2.7033363550859639</v>
      </c>
      <c r="T7" s="32">
        <f>AVERAGE('파괴조사 데이터'!U35:U42)</f>
        <v>94.136307709630117</v>
      </c>
    </row>
  </sheetData>
  <mergeCells count="16">
    <mergeCell ref="P1:P2"/>
    <mergeCell ref="T1:T2"/>
    <mergeCell ref="F1:F2"/>
    <mergeCell ref="G1:G2"/>
    <mergeCell ref="H1:J1"/>
    <mergeCell ref="K1:M1"/>
    <mergeCell ref="N1:N2"/>
    <mergeCell ref="O1:O2"/>
    <mergeCell ref="R1:R2"/>
    <mergeCell ref="S1:S2"/>
    <mergeCell ref="Q1:Q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  <ignoredErrors>
    <ignoredError sqref="T1:T7 A1:P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파괴조사 데이터</vt:lpstr>
      <vt:lpstr>평균값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박은빈</cp:lastModifiedBy>
  <cp:lastPrinted>2026-10-07T04:36:29Z</cp:lastPrinted>
  <dcterms:created xsi:type="dcterms:W3CDTF">2026-01-15T08:03:14Z</dcterms:created>
  <dcterms:modified xsi:type="dcterms:W3CDTF">2026-10-30T01:34:13Z</dcterms:modified>
</cp:coreProperties>
</file>